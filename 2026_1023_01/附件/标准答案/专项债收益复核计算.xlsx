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阅读说明" sheetId="1" state="visible" r:id="rId2"/>
    <sheet name="情景汇总" sheetId="2" state="visible" r:id="rId3"/>
    <sheet name="来源" sheetId="3" state="visible" r:id="rId4"/>
    <sheet name="版本" sheetId="4" state="visible" r:id="rId5"/>
    <sheet name="参数" sheetId="5" state="visible" r:id="rId6"/>
    <sheet name="原表收入" sheetId="6" state="visible" r:id="rId7"/>
    <sheet name="原表费用" sheetId="7" state="visible" r:id="rId8"/>
    <sheet name="融资计划" sheetId="8" state="visible" r:id="rId9"/>
    <sheet name="偿债原表" sheetId="9" state="visible" r:id="rId10"/>
    <sheet name="驱动复算" sheetId="10" state="visible" r:id="rId11"/>
    <sheet name="情景参数" sheetId="11" state="visible" r:id="rId12"/>
    <sheet name="情景年表" sheetId="12" state="visible" r:id="rId13"/>
    <sheet name="复核问题" sheetId="13" state="visible" r:id="rId14"/>
  </sheets>
  <definedNames>
    <definedName function="false" hidden="false" localSheetId="8" name="_xlnm.Print_Titles" vbProcedure="false">偿债原表!$1:$1</definedName>
    <definedName function="false" hidden="true" localSheetId="8" name="_xlnm._FilterDatabase" vbProcedure="false">偿债原表!$A$1:$L$21</definedName>
    <definedName function="false" hidden="false" localSheetId="5" name="_xlnm.Print_Titles" vbProcedure="false">原表收入!$1:$1</definedName>
    <definedName function="false" hidden="true" localSheetId="5" name="_xlnm._FilterDatabase" vbProcedure="false">原表收入!$A$1:$J$20</definedName>
    <definedName function="false" hidden="false" localSheetId="6" name="_xlnm.Print_Titles" vbProcedure="false">原表费用!$1:$1</definedName>
    <definedName function="false" hidden="true" localSheetId="6" name="_xlnm._FilterDatabase" vbProcedure="false">原表费用!$A$1:$Q$20</definedName>
    <definedName function="false" hidden="false" localSheetId="4" name="_xlnm.Print_Titles" vbProcedure="false">参数!$1:$1</definedName>
    <definedName function="false" hidden="true" localSheetId="4" name="_xlnm._FilterDatabase" vbProcedure="false">参数!$A$1:$C$33</definedName>
    <definedName function="false" hidden="false" localSheetId="12" name="_xlnm.Print_Titles" vbProcedure="false">复核问题!$1:$1</definedName>
    <definedName function="false" hidden="true" localSheetId="12" name="_xlnm._FilterDatabase" vbProcedure="false">复核问题!$A$1:$E$10</definedName>
    <definedName function="false" hidden="false" localSheetId="10" name="_xlnm.Print_Titles" vbProcedure="false">情景参数!$1:$1</definedName>
    <definedName function="false" hidden="true" localSheetId="10" name="_xlnm._FilterDatabase" vbProcedure="false">情景参数!$A$1:$F$20</definedName>
    <definedName function="false" hidden="false" localSheetId="11" name="_xlnm.Print_Titles" vbProcedure="false">情景年表!$1:$1</definedName>
    <definedName function="false" hidden="true" localSheetId="11" name="_xlnm._FilterDatabase" vbProcedure="false">情景年表!$A$1:$R$723</definedName>
    <definedName function="false" hidden="false" localSheetId="1" name="_xlnm.Print_Titles" vbProcedure="false">情景汇总!$1:$1</definedName>
    <definedName function="false" hidden="true" localSheetId="1" name="_xlnm._FilterDatabase" vbProcedure="false">情景汇总!$A$1:$L$39</definedName>
    <definedName function="false" hidden="false" localSheetId="2" name="_xlnm.Print_Titles" vbProcedure="false">来源!$1:$1</definedName>
    <definedName function="false" hidden="true" localSheetId="2" name="_xlnm._FilterDatabase" vbProcedure="false">来源!$A$1:$F$11</definedName>
    <definedName function="false" hidden="false" localSheetId="3" name="_xlnm.Print_Titles" vbProcedure="false">版本!$1:$1</definedName>
    <definedName function="false" hidden="true" localSheetId="3" name="_xlnm._FilterDatabase" vbProcedure="false">版本!$A$1:$L$5</definedName>
    <definedName function="false" hidden="false" localSheetId="7" name="_xlnm.Print_Titles" vbProcedure="false">融资计划!$1:$1</definedName>
    <definedName function="false" hidden="true" localSheetId="7" name="_xlnm._FilterDatabase" vbProcedure="false">融资计划!$A$1:$L$10</definedName>
    <definedName function="false" hidden="false" localSheetId="0" name="_xlnm.Print_Titles" vbProcedure="false">阅读说明!$1:$1</definedName>
    <definedName function="false" hidden="true" localSheetId="0" name="_xlnm._FilterDatabase" vbProcedure="false">阅读说明!$A$1:$B$13</definedName>
    <definedName function="false" hidden="false" localSheetId="9" name="_xlnm.Print_Titles" vbProcedure="false">驱动复算!$1:$1</definedName>
    <definedName function="false" hidden="true" localSheetId="9" name="_xlnm._FilterDatabase" vbProcedure="false">驱动复算!$A$1:$X$20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<sst xmlns="http://schemas.openxmlformats.org/spreadsheetml/2006/main" count="2007" uniqueCount="331">
  <si>
    <t xml:space="preserve">项目</t>
  </si>
  <si>
    <t xml:space="preserve">说明</t>
  </si>
  <si>
    <t xml:space="preserve">性质</t>
  </si>
  <si>
    <r>
      <rPr>
        <sz val="10"/>
        <color rgb="FF333333"/>
        <rFont val="Noto Sans CJK SC"/>
        <family val="2"/>
      </rPr>
      <t xml:space="preserve">参考解答生成底表，不是公开输入材料；截至</t>
    </r>
    <r>
      <rPr>
        <sz val="10"/>
        <color rgb="FF333333"/>
        <rFont val="微软雅黑"/>
        <family val="0"/>
        <charset val="1"/>
      </rPr>
      <t xml:space="preserve">2025-04-28</t>
    </r>
    <r>
      <rPr>
        <sz val="10"/>
        <color rgb="FF333333"/>
        <rFont val="Noto Sans CJK SC"/>
        <family val="2"/>
      </rPr>
      <t xml:space="preserve">的公开预测复核。金额均为万元。</t>
    </r>
  </si>
  <si>
    <t xml:space="preserve">使用顺序</t>
  </si>
  <si>
    <r>
      <rPr>
        <sz val="10"/>
        <color rgb="FF333333"/>
        <rFont val="Noto Sans CJK SC"/>
        <family val="2"/>
      </rPr>
      <t xml:space="preserve">来源—版本—原表—驱动—情景年表—汇总—问题；蓝色数字为录入</t>
    </r>
    <r>
      <rPr>
        <sz val="10"/>
        <color rgb="FF333333"/>
        <rFont val="微软雅黑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参数，公式为黑色。</t>
    </r>
  </si>
  <si>
    <t xml:space="preserve">基准</t>
  </si>
  <si>
    <t xml:space="preserve">原表复现使用公开表列两位小数。纠偏分支采用未舍入驱动公式；与原表存在分币级尾差。</t>
  </si>
  <si>
    <t xml:space="preserve">年序</t>
  </si>
  <si>
    <r>
      <rPr>
        <sz val="10"/>
        <color rgb="FF333333"/>
        <rFont val="Noto Sans CJK SC"/>
        <family val="2"/>
      </rPr>
      <t xml:space="preserve">报告第一年映射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，第五年为</t>
    </r>
    <r>
      <rPr>
        <sz val="10"/>
        <color rgb="FF333333"/>
        <rFont val="微软雅黑"/>
        <family val="0"/>
        <charset val="1"/>
      </rPr>
      <t xml:space="preserve">2028</t>
    </r>
    <r>
      <rPr>
        <sz val="10"/>
        <color rgb="FF333333"/>
        <rFont val="Noto Sans CJK SC"/>
        <family val="2"/>
      </rPr>
      <t xml:space="preserve">，第十八年为</t>
    </r>
    <r>
      <rPr>
        <sz val="10"/>
        <color rgb="FF333333"/>
        <rFont val="微软雅黑"/>
        <family val="0"/>
        <charset val="1"/>
      </rPr>
      <t xml:space="preserve">2041</t>
    </r>
    <r>
      <rPr>
        <sz val="10"/>
        <color rgb="FF333333"/>
        <rFont val="Noto Sans CJK SC"/>
        <family val="2"/>
      </rPr>
      <t xml:space="preserve">；已融资项单列。映射仅用于复现，非实际兑付日历。</t>
    </r>
  </si>
  <si>
    <t xml:space="preserve">余额假设</t>
  </si>
  <si>
    <r>
      <rPr>
        <sz val="10"/>
        <color rgb="FF333333"/>
        <rFont val="Noto Sans CJK SC"/>
        <family val="2"/>
      </rPr>
      <t xml:space="preserve">含已融资项</t>
    </r>
    <r>
      <rPr>
        <sz val="10"/>
        <color rgb="FF333333"/>
        <rFont val="微软雅黑"/>
        <family val="0"/>
        <charset val="1"/>
      </rPr>
      <t xml:space="preserve">1374.20</t>
    </r>
    <r>
      <rPr>
        <sz val="10"/>
        <color rgb="FF333333"/>
        <rFont val="Noto Sans CJK SC"/>
        <family val="2"/>
      </rPr>
      <t xml:space="preserve">，期初</t>
    </r>
    <r>
      <rPr>
        <sz val="10"/>
        <color rgb="FF333333"/>
        <rFont val="微软雅黑"/>
        <family val="0"/>
        <charset val="1"/>
      </rPr>
      <t xml:space="preserve">0</t>
    </r>
    <r>
      <rPr>
        <sz val="10"/>
        <color rgb="FF333333"/>
        <rFont val="Noto Sans CJK SC"/>
        <family val="2"/>
      </rPr>
      <t xml:space="preserve">，经营盈余全部留存、不计息，无额外注资；计算最大累计资金缺口，非真实账户余额。</t>
    </r>
  </si>
  <si>
    <t xml:space="preserve">期间限制</t>
  </si>
  <si>
    <r>
      <rPr>
        <sz val="10"/>
        <color rgb="FF333333"/>
        <rFont val="微软雅黑"/>
        <family val="0"/>
        <charset val="1"/>
      </rPr>
      <t xml:space="preserve">2022</t>
    </r>
    <r>
      <rPr>
        <sz val="10"/>
        <color rgb="FF333333"/>
        <rFont val="Noto Sans CJK SC"/>
        <family val="2"/>
      </rPr>
      <t xml:space="preserve">年</t>
    </r>
    <r>
      <rPr>
        <sz val="10"/>
        <color rgb="FF333333"/>
        <rFont val="微软雅黑"/>
        <family val="0"/>
        <charset val="1"/>
      </rPr>
      <t xml:space="preserve">20</t>
    </r>
    <r>
      <rPr>
        <sz val="10"/>
        <color rgb="FF333333"/>
        <rFont val="Noto Sans CJK SC"/>
        <family val="2"/>
      </rPr>
      <t xml:space="preserve">年期等按发行年份加期限对应到期年比报告映射晚一年；不杜撰</t>
    </r>
    <r>
      <rPr>
        <sz val="10"/>
        <color rgb="FF333333"/>
        <rFont val="微软雅黑"/>
        <family val="0"/>
        <charset val="1"/>
      </rPr>
      <t xml:space="preserve">2042</t>
    </r>
    <r>
      <rPr>
        <sz val="10"/>
        <color rgb="FF333333"/>
        <rFont val="Noto Sans CJK SC"/>
        <family val="2"/>
      </rPr>
      <t xml:space="preserve">经营收益，须补正实际兑付表后更新。</t>
    </r>
  </si>
  <si>
    <t xml:space="preserve">充电甲</t>
  </si>
  <si>
    <r>
      <rPr>
        <sz val="10"/>
        <color rgb="FF333333"/>
        <rFont val="Noto Sans CJK SC"/>
        <family val="2"/>
      </rPr>
      <t xml:space="preserve">文字五年周期甲：</t>
    </r>
    <r>
      <rPr>
        <sz val="10"/>
        <color rgb="FF333333"/>
        <rFont val="微软雅黑"/>
        <family val="0"/>
        <charset val="1"/>
      </rPr>
      <t xml:space="preserve">2028—2032</t>
    </r>
    <r>
      <rPr>
        <sz val="10"/>
        <color rgb="FF333333"/>
        <rFont val="Noto Sans CJK SC"/>
        <family val="2"/>
      </rPr>
      <t xml:space="preserve">基期，</t>
    </r>
    <r>
      <rPr>
        <sz val="10"/>
        <color rgb="FF333333"/>
        <rFont val="微软雅黑"/>
        <family val="0"/>
        <charset val="1"/>
      </rPr>
      <t xml:space="preserve">2033—2037×1.25</t>
    </r>
    <r>
      <rPr>
        <sz val="10"/>
        <color rgb="FF333333"/>
        <rFont val="Noto Sans CJK SC"/>
        <family val="2"/>
      </rPr>
      <t xml:space="preserve">，</t>
    </r>
    <r>
      <rPr>
        <sz val="10"/>
        <color rgb="FF333333"/>
        <rFont val="微软雅黑"/>
        <family val="0"/>
        <charset val="1"/>
      </rPr>
      <t xml:space="preserve">2038—2041</t>
    </r>
    <r>
      <rPr>
        <sz val="10"/>
        <color rgb="FF333333"/>
        <rFont val="Noto Sans CJK SC"/>
        <family val="2"/>
      </rPr>
      <t xml:space="preserve">再</t>
    </r>
    <r>
      <rPr>
        <sz val="10"/>
        <color rgb="FF333333"/>
        <rFont val="微软雅黑"/>
        <family val="0"/>
        <charset val="1"/>
      </rPr>
      <t xml:space="preserve">×1.10</t>
    </r>
    <r>
      <rPr>
        <sz val="10"/>
        <color rgb="FF333333"/>
        <rFont val="Noto Sans CJK SC"/>
        <family val="2"/>
      </rPr>
      <t xml:space="preserve">；是解释分支，非认定唯一原意。</t>
    </r>
  </si>
  <si>
    <t xml:space="preserve">充电乙</t>
  </si>
  <si>
    <r>
      <rPr>
        <sz val="10"/>
        <color rgb="FF333333"/>
        <rFont val="Noto Sans CJK SC"/>
        <family val="2"/>
      </rPr>
      <t xml:space="preserve">文字五年周期乙：</t>
    </r>
    <r>
      <rPr>
        <sz val="10"/>
        <color rgb="FF333333"/>
        <rFont val="微软雅黑"/>
        <family val="0"/>
        <charset val="1"/>
      </rPr>
      <t xml:space="preserve">2028—2032</t>
    </r>
    <r>
      <rPr>
        <sz val="10"/>
        <color rgb="FF333333"/>
        <rFont val="Noto Sans CJK SC"/>
        <family val="2"/>
      </rPr>
      <t xml:space="preserve">基期，第</t>
    </r>
    <r>
      <rPr>
        <sz val="10"/>
        <color rgb="FF333333"/>
        <rFont val="微软雅黑"/>
        <family val="0"/>
        <charset val="1"/>
      </rPr>
      <t xml:space="preserve">6</t>
    </r>
    <r>
      <rPr>
        <sz val="10"/>
        <color rgb="FF333333"/>
        <rFont val="Noto Sans CJK SC"/>
        <family val="2"/>
      </rPr>
      <t xml:space="preserve">年开始按</t>
    </r>
    <r>
      <rPr>
        <sz val="10"/>
        <color rgb="FF333333"/>
        <rFont val="微软雅黑"/>
        <family val="0"/>
        <charset val="1"/>
      </rPr>
      <t xml:space="preserve">10%</t>
    </r>
    <r>
      <rPr>
        <sz val="10"/>
        <color rgb="FF333333"/>
        <rFont val="Noto Sans CJK SC"/>
        <family val="2"/>
      </rPr>
      <t xml:space="preserve">每五年递增，</t>
    </r>
    <r>
      <rPr>
        <sz val="10"/>
        <color rgb="FF333333"/>
        <rFont val="微软雅黑"/>
        <family val="0"/>
        <charset val="1"/>
      </rPr>
      <t xml:space="preserve">2033×1.10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软雅黑"/>
        <family val="0"/>
        <charset val="1"/>
      </rPr>
      <t xml:space="preserve">2038</t>
    </r>
    <r>
      <rPr>
        <sz val="10"/>
        <color rgb="FF333333"/>
        <rFont val="Noto Sans CJK SC"/>
        <family val="2"/>
      </rPr>
      <t xml:space="preserve">再</t>
    </r>
    <r>
      <rPr>
        <sz val="10"/>
        <color rgb="FF333333"/>
        <rFont val="微软雅黑"/>
        <family val="0"/>
        <charset val="1"/>
      </rPr>
      <t xml:space="preserve">×1.10</t>
    </r>
    <r>
      <rPr>
        <sz val="10"/>
        <color rgb="FF333333"/>
        <rFont val="Noto Sans CJK SC"/>
        <family val="2"/>
      </rPr>
      <t xml:space="preserve">。</t>
    </r>
  </si>
  <si>
    <t xml:space="preserve">主复核分支</t>
  </si>
  <si>
    <r>
      <rPr>
        <sz val="10"/>
        <color rgb="FF333333"/>
        <rFont val="Noto Sans CJK SC"/>
        <family val="2"/>
      </rPr>
      <t xml:space="preserve">停车按引用文件冻结单价并适用夜间封顶；充电保留</t>
    </r>
    <r>
      <rPr>
        <sz val="10"/>
        <color rgb="FF333333"/>
        <rFont val="微软雅黑"/>
        <family val="0"/>
        <charset val="1"/>
      </rPr>
      <t xml:space="preserve">0.8</t>
    </r>
    <r>
      <rPr>
        <sz val="10"/>
        <color rgb="FF333333"/>
        <rFont val="Noto Sans CJK SC"/>
        <family val="2"/>
      </rPr>
      <t xml:space="preserve">为经营假设，比较原表与甲乙周期；管理费</t>
    </r>
    <r>
      <rPr>
        <sz val="10"/>
        <color rgb="FF333333"/>
        <rFont val="微软雅黑"/>
        <family val="0"/>
        <charset val="1"/>
      </rPr>
      <t xml:space="preserve">2%/5%</t>
    </r>
    <r>
      <rPr>
        <sz val="10"/>
        <color rgb="FF333333"/>
        <rFont val="Noto Sans CJK SC"/>
        <family val="2"/>
      </rPr>
      <t xml:space="preserve">双分支。</t>
    </r>
  </si>
  <si>
    <t xml:space="preserve">压力</t>
  </si>
  <si>
    <r>
      <rPr>
        <sz val="10"/>
        <color rgb="FF333333"/>
        <rFont val="Noto Sans CJK SC"/>
        <family val="2"/>
      </rPr>
      <t xml:space="preserve">收入下降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，六项非管理费保持既定路径，管理费按情景费率随收入联动；另复现净收益</t>
    </r>
    <r>
      <rPr>
        <sz val="10"/>
        <color rgb="FF333333"/>
        <rFont val="微软雅黑"/>
        <family val="0"/>
        <charset val="1"/>
      </rPr>
      <t xml:space="preserve">-5%</t>
    </r>
    <r>
      <rPr>
        <sz val="10"/>
        <color rgb="FF333333"/>
        <rFont val="Noto Sans CJK SC"/>
        <family val="2"/>
      </rPr>
      <t xml:space="preserve">及收入</t>
    </r>
    <r>
      <rPr>
        <sz val="10"/>
        <color rgb="FF333333"/>
        <rFont val="微软雅黑"/>
        <family val="0"/>
        <charset val="1"/>
      </rPr>
      <t xml:space="preserve">-5%</t>
    </r>
    <r>
      <rPr>
        <sz val="10"/>
        <color rgb="FF333333"/>
        <rFont val="Noto Sans CJK SC"/>
        <family val="2"/>
      </rPr>
      <t xml:space="preserve">成本固定。</t>
    </r>
  </si>
  <si>
    <t xml:space="preserve">阈值</t>
  </si>
  <si>
    <r>
      <rPr>
        <sz val="10"/>
        <color rgb="FF333333"/>
        <rFont val="微软雅黑"/>
        <family val="0"/>
        <charset val="1"/>
      </rPr>
      <t xml:space="preserve">1.2</t>
    </r>
    <r>
      <rPr>
        <sz val="10"/>
        <color rgb="FF333333"/>
        <rFont val="Noto Sans CJK SC"/>
        <family val="2"/>
      </rPr>
      <t xml:space="preserve">是本报告宣称的压力覆盖水平，不在本题中视为统一法定审批门槛；</t>
    </r>
    <r>
      <rPr>
        <sz val="10"/>
        <color rgb="FF333333"/>
        <rFont val="微软雅黑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为全周期收支覆盖界线。</t>
    </r>
  </si>
  <si>
    <t xml:space="preserve">重算</t>
  </si>
  <si>
    <r>
      <rPr>
        <sz val="10"/>
        <color rgb="FF333333"/>
        <rFont val="Noto Sans CJK SC"/>
        <family val="2"/>
      </rPr>
      <t xml:space="preserve">改变参数或情景表后使用</t>
    </r>
    <r>
      <rPr>
        <sz val="10"/>
        <color rgb="FF333333"/>
        <rFont val="微软雅黑"/>
        <family val="0"/>
        <charset val="1"/>
      </rPr>
      <t xml:space="preserve">Excel/LibreOffice</t>
    </r>
    <r>
      <rPr>
        <sz val="10"/>
        <color rgb="FF333333"/>
        <rFont val="Noto Sans CJK SC"/>
        <family val="2"/>
      </rPr>
      <t xml:space="preserve">重算。无宏、无外链、无隐藏表。</t>
    </r>
  </si>
  <si>
    <t xml:space="preserve">情景</t>
  </si>
  <si>
    <t xml:space="preserve">融资版本</t>
  </si>
  <si>
    <t xml:space="preserve">基准总收入</t>
  </si>
  <si>
    <t xml:space="preserve">项目净收益</t>
  </si>
  <si>
    <t xml:space="preserve">债务本息</t>
  </si>
  <si>
    <t xml:space="preserve">覆盖倍数</t>
  </si>
  <si>
    <t xml:space="preserve">最小单年差额</t>
  </si>
  <si>
    <t xml:space="preserve">最大累计缺口</t>
  </si>
  <si>
    <t xml:space="preserve">最大累计缺口时点</t>
  </si>
  <si>
    <t xml:space="preserve">期末未补资累计</t>
  </si>
  <si>
    <r>
      <rPr>
        <b val="true"/>
        <sz val="11"/>
        <color rgb="FFFFFFFF"/>
        <rFont val="Noto Sans CJK SC"/>
        <family val="2"/>
      </rPr>
      <t xml:space="preserve">到</t>
    </r>
    <r>
      <rPr>
        <b val="true"/>
        <sz val="11"/>
        <color rgb="FFFFFFFF"/>
        <rFont val="微软雅黑"/>
        <family val="0"/>
        <charset val="1"/>
      </rPr>
      <t xml:space="preserve">1.2</t>
    </r>
    <r>
      <rPr>
        <b val="true"/>
        <sz val="11"/>
        <color rgb="FFFFFFFF"/>
        <rFont val="Noto Sans CJK SC"/>
        <family val="2"/>
      </rPr>
      <t xml:space="preserve">的额外降幅</t>
    </r>
  </si>
  <si>
    <r>
      <rPr>
        <b val="true"/>
        <sz val="11"/>
        <color rgb="FFFFFFFF"/>
        <rFont val="Noto Sans CJK SC"/>
        <family val="2"/>
      </rPr>
      <t xml:space="preserve">到</t>
    </r>
    <r>
      <rPr>
        <b val="true"/>
        <sz val="11"/>
        <color rgb="FFFFFFFF"/>
        <rFont val="微软雅黑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的额外降幅</t>
    </r>
  </si>
  <si>
    <t xml:space="preserve">原表</t>
  </si>
  <si>
    <t xml:space="preserve">早版</t>
  </si>
  <si>
    <t xml:space="preserve">晚版</t>
  </si>
  <si>
    <r>
      <rPr>
        <sz val="10"/>
        <color rgb="FF333333"/>
        <rFont val="Noto Sans CJK SC"/>
        <family val="2"/>
      </rPr>
      <t xml:space="preserve">统一</t>
    </r>
    <r>
      <rPr>
        <sz val="10"/>
        <color rgb="FF333333"/>
        <rFont val="微软雅黑"/>
        <family val="0"/>
        <charset val="1"/>
      </rPr>
      <t xml:space="preserve">2%</t>
    </r>
  </si>
  <si>
    <r>
      <rPr>
        <sz val="10"/>
        <color rgb="FF333333"/>
        <rFont val="Noto Sans CJK SC"/>
        <family val="2"/>
      </rPr>
      <t xml:space="preserve">统一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</si>
  <si>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收费修正</t>
    </r>
    <r>
      <rPr>
        <sz val="10"/>
        <color rgb="FF333333"/>
        <rFont val="微软雅黑"/>
        <family val="0"/>
        <charset val="1"/>
      </rPr>
      <t xml:space="preserve">2%</t>
    </r>
  </si>
  <si>
    <r>
      <rPr>
        <sz val="10"/>
        <color rgb="FF333333"/>
        <rFont val="Noto Sans CJK SC"/>
        <family val="2"/>
      </rPr>
      <t xml:space="preserve">收费修正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</si>
  <si>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文字周期甲</t>
    </r>
    <r>
      <rPr>
        <sz val="10"/>
        <color rgb="FF333333"/>
        <rFont val="微软雅黑"/>
        <family val="0"/>
        <charset val="1"/>
      </rPr>
      <t xml:space="preserve">2%</t>
    </r>
  </si>
  <si>
    <r>
      <rPr>
        <sz val="10"/>
        <color rgb="FF333333"/>
        <rFont val="Noto Sans CJK SC"/>
        <family val="2"/>
      </rPr>
      <t xml:space="preserve">文字周期甲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</si>
  <si>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文字周期乙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</si>
  <si>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原表净收益降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</si>
  <si>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原表收入降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成本固定</t>
    </r>
  </si>
  <si>
    <r>
      <rPr>
        <sz val="10"/>
        <color rgb="FF333333"/>
        <rFont val="Noto Sans CJK SC"/>
        <family val="2"/>
      </rPr>
      <t xml:space="preserve">统一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</si>
  <si>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统一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</si>
  <si>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文字周期甲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</si>
  <si>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文字周期甲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</si>
  <si>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收费修正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</si>
  <si>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收费修正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</si>
  <si>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文字周期乙</t>
    </r>
    <r>
      <rPr>
        <sz val="10"/>
        <color rgb="FF333333"/>
        <rFont val="微软雅黑"/>
        <family val="0"/>
        <charset val="1"/>
      </rPr>
      <t xml:space="preserve">2%</t>
    </r>
  </si>
  <si>
    <r>
      <rPr>
        <sz val="10"/>
        <color rgb="FF333333"/>
        <rFont val="Noto Sans CJK SC"/>
        <family val="2"/>
      </rPr>
      <t xml:space="preserve">文字周期乙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</si>
  <si>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r>
      <rPr>
        <sz val="10"/>
        <color rgb="FF333333"/>
        <rFont val="Noto Sans CJK SC"/>
        <family val="2"/>
      </rPr>
      <t xml:space="preserve">文字周期乙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收入降</t>
    </r>
    <r>
      <rPr>
        <sz val="10"/>
        <color rgb="FF333333"/>
        <rFont val="微软雅黑"/>
        <family val="0"/>
        <charset val="1"/>
      </rPr>
      <t xml:space="preserve">5%</t>
    </r>
  </si>
  <si>
    <t xml:space="preserve">文件</t>
  </si>
  <si>
    <t xml:space="preserve">机构</t>
  </si>
  <si>
    <t xml:space="preserve">发布日期或成文日</t>
  </si>
  <si>
    <t xml:space="preserve">网址</t>
  </si>
  <si>
    <t xml:space="preserve">用途</t>
  </si>
  <si>
    <t xml:space="preserve">SHA256</t>
  </si>
  <si>
    <r>
      <rPr>
        <sz val="10"/>
        <color rgb="FF333333"/>
        <rFont val="微软雅黑"/>
        <family val="0"/>
        <charset val="1"/>
      </rPr>
      <t xml:space="preserve">01_</t>
    </r>
    <r>
      <rPr>
        <sz val="10"/>
        <color rgb="FF333333"/>
        <rFont val="Noto Sans CJK SC"/>
        <family val="2"/>
      </rPr>
      <t xml:space="preserve">专项债收益修正公告</t>
    </r>
    <r>
      <rPr>
        <sz val="10"/>
        <color rgb="FF333333"/>
        <rFont val="微软雅黑"/>
        <family val="0"/>
        <charset val="1"/>
      </rPr>
      <t xml:space="preserve">_2025</t>
    </r>
    <r>
      <rPr>
        <sz val="10"/>
        <color rgb="FF333333"/>
        <rFont val="Noto Sans CJK SC"/>
        <family val="2"/>
      </rPr>
      <t xml:space="preserve">年</t>
    </r>
    <r>
      <rPr>
        <sz val="10"/>
        <color rgb="FF333333"/>
        <rFont val="微软雅黑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月</t>
    </r>
    <r>
      <rPr>
        <sz val="10"/>
        <color rgb="FF333333"/>
        <rFont val="微软雅黑"/>
        <family val="0"/>
        <charset val="1"/>
      </rPr>
      <t xml:space="preserve">28</t>
    </r>
    <r>
      <rPr>
        <sz val="10"/>
        <color rgb="FF333333"/>
        <rFont val="Noto Sans CJK SC"/>
        <family val="2"/>
      </rPr>
      <t xml:space="preserve">日</t>
    </r>
    <r>
      <rPr>
        <sz val="10"/>
        <color rgb="FF333333"/>
        <rFont val="微软雅黑"/>
        <family val="0"/>
        <charset val="1"/>
      </rPr>
      <t xml:space="preserve">.html</t>
    </r>
  </si>
  <si>
    <t xml:space="preserve">广州市南沙区财政局</t>
  </si>
  <si>
    <t xml:space="preserve">2025-04-28</t>
  </si>
  <si>
    <t xml:space="preserve">https://www.gzns.gov.cn/zwgk/zdlyxxgk/czgl/zfxzwxx/content/post_10241159.html</t>
  </si>
  <si>
    <r>
      <rPr>
        <sz val="10"/>
        <color rgb="FF333333"/>
        <rFont val="Noto Sans CJK SC"/>
        <family val="2"/>
      </rPr>
      <t xml:space="preserve">披露范围及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年三期募资合计</t>
    </r>
    <r>
      <rPr>
        <sz val="10"/>
        <color rgb="FF333333"/>
        <rFont val="微软雅黑"/>
        <family val="0"/>
        <charset val="1"/>
      </rPr>
      <t xml:space="preserve">6400</t>
    </r>
    <r>
      <rPr>
        <sz val="10"/>
        <color rgb="FF333333"/>
        <rFont val="Noto Sans CJK SC"/>
        <family val="2"/>
      </rPr>
      <t xml:space="preserve">万元；原网页</t>
    </r>
    <r>
      <rPr>
        <sz val="10"/>
        <color rgb="FF333333"/>
        <rFont val="微软雅黑"/>
        <family val="0"/>
        <charset val="1"/>
      </rPr>
      <t xml:space="preserve">HTML</t>
    </r>
  </si>
  <si>
    <t xml:space="preserve">0d6e8ab0192ca56d583848b2a5a69aab87b572ab53239479c15e08c2129534d9</t>
  </si>
  <si>
    <r>
      <rPr>
        <sz val="10"/>
        <color rgb="FF333333"/>
        <rFont val="微软雅黑"/>
        <family val="0"/>
        <charset val="1"/>
      </rPr>
      <t xml:space="preserve">02_</t>
    </r>
    <r>
      <rPr>
        <sz val="10"/>
        <color rgb="FF333333"/>
        <rFont val="Noto Sans CJK SC"/>
        <family val="2"/>
      </rPr>
      <t xml:space="preserve">十二期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口腔医院专项评价报告</t>
    </r>
    <r>
      <rPr>
        <sz val="10"/>
        <color rgb="FF333333"/>
        <rFont val="微软雅黑"/>
        <family val="0"/>
        <charset val="1"/>
      </rPr>
      <t xml:space="preserve">.pdf</t>
    </r>
  </si>
  <si>
    <t xml:space="preserve">广州市光领有限责任会计师事务所；南沙区财政局公开</t>
  </si>
  <si>
    <r>
      <rPr>
        <sz val="10"/>
        <color rgb="FF333333"/>
        <rFont val="微软雅黑"/>
        <family val="0"/>
        <charset val="1"/>
      </rPr>
      <t xml:space="preserve">2025-04-28</t>
    </r>
    <r>
      <rPr>
        <sz val="10"/>
        <color rgb="FF333333"/>
        <rFont val="Noto Sans CJK SC"/>
        <family val="2"/>
      </rPr>
      <t xml:space="preserve">（报告签署</t>
    </r>
    <r>
      <rPr>
        <sz val="10"/>
        <color rgb="FF333333"/>
        <rFont val="微软雅黑"/>
        <family val="0"/>
        <charset val="1"/>
      </rPr>
      <t xml:space="preserve">2024-03-18</t>
    </r>
    <r>
      <rPr>
        <sz val="10"/>
        <color rgb="FF333333"/>
        <rFont val="Noto Sans CJK SC"/>
        <family val="2"/>
      </rPr>
      <t xml:space="preserve">）</t>
    </r>
  </si>
  <si>
    <t xml:space="preserve">https://www.gzns.gov.cn/gznsczgz/attachment/7/7807/7807842/10241160.zip</t>
  </si>
  <si>
    <r>
      <rPr>
        <sz val="10"/>
        <color rgb="FF333333"/>
        <rFont val="微软雅黑"/>
        <family val="0"/>
        <charset val="1"/>
      </rPr>
      <t xml:space="preserve">ZIP</t>
    </r>
    <r>
      <rPr>
        <sz val="10"/>
        <color rgb="FF333333"/>
        <rFont val="Noto Sans CJK SC"/>
        <family val="2"/>
      </rPr>
      <t xml:space="preserve">中的十二期</t>
    </r>
    <r>
      <rPr>
        <sz val="10"/>
        <color rgb="FF333333"/>
        <rFont val="微软雅黑"/>
        <family val="0"/>
        <charset val="1"/>
      </rPr>
      <t xml:space="preserve">PDF</t>
    </r>
    <r>
      <rPr>
        <sz val="10"/>
        <color rgb="FF333333"/>
        <rFont val="Noto Sans CJK SC"/>
        <family val="2"/>
      </rPr>
      <t xml:space="preserve">；早版融资、运营及偿债表</t>
    </r>
  </si>
  <si>
    <t xml:space="preserve">949ada2b0877a91af86cd6922ed1119c5d1d9c4abde5b33b5104f9060c852600</t>
  </si>
  <si>
    <r>
      <rPr>
        <sz val="10"/>
        <color rgb="FF333333"/>
        <rFont val="微软雅黑"/>
        <family val="0"/>
        <charset val="1"/>
      </rPr>
      <t xml:space="preserve">03_</t>
    </r>
    <r>
      <rPr>
        <sz val="10"/>
        <color rgb="FF333333"/>
        <rFont val="Noto Sans CJK SC"/>
        <family val="2"/>
      </rPr>
      <t xml:space="preserve">六十一期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口腔医院专项评价报告</t>
    </r>
    <r>
      <rPr>
        <sz val="10"/>
        <color rgb="FF333333"/>
        <rFont val="微软雅黑"/>
        <family val="0"/>
        <charset val="1"/>
      </rPr>
      <t xml:space="preserve">.pdf</t>
    </r>
  </si>
  <si>
    <r>
      <rPr>
        <sz val="10"/>
        <color rgb="FF333333"/>
        <rFont val="微软雅黑"/>
        <family val="0"/>
        <charset val="1"/>
      </rPr>
      <t xml:space="preserve">2025-04-28</t>
    </r>
    <r>
      <rPr>
        <sz val="10"/>
        <color rgb="FF333333"/>
        <rFont val="Noto Sans CJK SC"/>
        <family val="2"/>
      </rPr>
      <t xml:space="preserve">（报告签署</t>
    </r>
    <r>
      <rPr>
        <sz val="10"/>
        <color rgb="FF333333"/>
        <rFont val="微软雅黑"/>
        <family val="0"/>
        <charset val="1"/>
      </rPr>
      <t xml:space="preserve">2024-08-18</t>
    </r>
    <r>
      <rPr>
        <sz val="10"/>
        <color rgb="FF333333"/>
        <rFont val="Noto Sans CJK SC"/>
        <family val="2"/>
      </rPr>
      <t xml:space="preserve">）</t>
    </r>
  </si>
  <si>
    <r>
      <rPr>
        <sz val="10"/>
        <color rgb="FF333333"/>
        <rFont val="微软雅黑"/>
        <family val="0"/>
        <charset val="1"/>
      </rPr>
      <t xml:space="preserve">ZIP</t>
    </r>
    <r>
      <rPr>
        <sz val="10"/>
        <color rgb="FF333333"/>
        <rFont val="Noto Sans CJK SC"/>
        <family val="2"/>
      </rPr>
      <t xml:space="preserve">中的六十一期</t>
    </r>
    <r>
      <rPr>
        <sz val="10"/>
        <color rgb="FF333333"/>
        <rFont val="微软雅黑"/>
        <family val="0"/>
        <charset val="1"/>
      </rPr>
      <t xml:space="preserve">PDF</t>
    </r>
    <r>
      <rPr>
        <sz val="10"/>
        <color rgb="FF333333"/>
        <rFont val="Noto Sans CJK SC"/>
        <family val="2"/>
      </rPr>
      <t xml:space="preserve">；晚版融资及对应测算</t>
    </r>
  </si>
  <si>
    <t xml:space="preserve">99179865586e35651cde9aaa4802cb4888ac7b6945b760f0464a63424ffbcc80</t>
  </si>
  <si>
    <r>
      <rPr>
        <sz val="10"/>
        <color rgb="FF333333"/>
        <rFont val="微软雅黑"/>
        <family val="0"/>
        <charset val="1"/>
      </rPr>
      <t xml:space="preserve">04_</t>
    </r>
    <r>
      <rPr>
        <sz val="10"/>
        <color rgb="FF333333"/>
        <rFont val="Noto Sans CJK SC"/>
        <family val="2"/>
      </rPr>
      <t xml:space="preserve">六十九期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口腔医院专项评价报告</t>
    </r>
    <r>
      <rPr>
        <sz val="10"/>
        <color rgb="FF333333"/>
        <rFont val="微软雅黑"/>
        <family val="0"/>
        <charset val="1"/>
      </rPr>
      <t xml:space="preserve">.pdf</t>
    </r>
  </si>
  <si>
    <r>
      <rPr>
        <sz val="10"/>
        <color rgb="FF333333"/>
        <rFont val="微软雅黑"/>
        <family val="0"/>
        <charset val="1"/>
      </rPr>
      <t xml:space="preserve">ZIP</t>
    </r>
    <r>
      <rPr>
        <sz val="10"/>
        <color rgb="FF333333"/>
        <rFont val="Noto Sans CJK SC"/>
        <family val="2"/>
      </rPr>
      <t xml:space="preserve">中的六十九期</t>
    </r>
    <r>
      <rPr>
        <sz val="10"/>
        <color rgb="FF333333"/>
        <rFont val="微软雅黑"/>
        <family val="0"/>
        <charset val="1"/>
      </rPr>
      <t xml:space="preserve">PDF</t>
    </r>
    <r>
      <rPr>
        <sz val="10"/>
        <color rgb="FF333333"/>
        <rFont val="Noto Sans CJK SC"/>
        <family val="2"/>
      </rPr>
      <t xml:space="preserve">；附件版本对应核对</t>
    </r>
  </si>
  <si>
    <r>
      <rPr>
        <sz val="10"/>
        <color rgb="FF333333"/>
        <rFont val="微软雅黑"/>
        <family val="0"/>
        <charset val="1"/>
      </rPr>
      <t xml:space="preserve">05_</t>
    </r>
    <r>
      <rPr>
        <sz val="10"/>
        <color rgb="FF333333"/>
        <rFont val="Noto Sans CJK SC"/>
        <family val="2"/>
      </rPr>
      <t xml:space="preserve">机动车停放服务收费管理通知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穗发改规字</t>
    </r>
    <r>
      <rPr>
        <sz val="10"/>
        <color rgb="FF333333"/>
        <rFont val="微软雅黑"/>
        <family val="0"/>
        <charset val="1"/>
      </rPr>
      <t xml:space="preserve">2021</t>
    </r>
    <r>
      <rPr>
        <sz val="10"/>
        <color rgb="FF333333"/>
        <rFont val="Noto Sans CJK SC"/>
        <family val="2"/>
      </rPr>
      <t xml:space="preserve">年</t>
    </r>
    <r>
      <rPr>
        <sz val="10"/>
        <color rgb="FF333333"/>
        <rFont val="微软雅黑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号</t>
    </r>
    <r>
      <rPr>
        <sz val="10"/>
        <color rgb="FF333333"/>
        <rFont val="微软雅黑"/>
        <family val="0"/>
        <charset val="1"/>
      </rPr>
      <t xml:space="preserve">.html</t>
    </r>
  </si>
  <si>
    <t xml:space="preserve">广州市发展改革委等四部门</t>
  </si>
  <si>
    <r>
      <rPr>
        <sz val="10"/>
        <color rgb="FF333333"/>
        <rFont val="微软雅黑"/>
        <family val="0"/>
        <charset val="1"/>
      </rPr>
      <t xml:space="preserve">2021-08-26</t>
    </r>
    <r>
      <rPr>
        <sz val="10"/>
        <color rgb="FF333333"/>
        <rFont val="Noto Sans CJK SC"/>
        <family val="2"/>
      </rPr>
      <t xml:space="preserve">（成文</t>
    </r>
    <r>
      <rPr>
        <sz val="10"/>
        <color rgb="FF333333"/>
        <rFont val="微软雅黑"/>
        <family val="0"/>
        <charset val="1"/>
      </rPr>
      <t xml:space="preserve">2021-08-23</t>
    </r>
    <r>
      <rPr>
        <sz val="10"/>
        <color rgb="FF333333"/>
        <rFont val="Noto Sans CJK SC"/>
        <family val="2"/>
      </rPr>
      <t xml:space="preserve">）</t>
    </r>
  </si>
  <si>
    <t xml:space="preserve">https://fgw.gz.gov.cn/gkmlpt/content/7/7530/post_7530042.html</t>
  </si>
  <si>
    <r>
      <rPr>
        <sz val="10"/>
        <color rgb="FF333333"/>
        <rFont val="Noto Sans CJK SC"/>
        <family val="2"/>
      </rPr>
      <t xml:space="preserve">停车类别、减免、调价及有效期；原网页</t>
    </r>
    <r>
      <rPr>
        <sz val="10"/>
        <color rgb="FF333333"/>
        <rFont val="微软雅黑"/>
        <family val="0"/>
        <charset val="1"/>
      </rPr>
      <t xml:space="preserve">HTML</t>
    </r>
  </si>
  <si>
    <t xml:space="preserve">b03afe0e320b5011fcc9256e29a485fd28663d931574f592d8dd67c8891794e5</t>
  </si>
  <si>
    <r>
      <rPr>
        <sz val="10"/>
        <color rgb="FF333333"/>
        <rFont val="微软雅黑"/>
        <family val="0"/>
        <charset val="1"/>
      </rPr>
      <t xml:space="preserve">06_</t>
    </r>
    <r>
      <rPr>
        <sz val="10"/>
        <color rgb="FF333333"/>
        <rFont val="Noto Sans CJK SC"/>
        <family val="2"/>
      </rPr>
      <t xml:space="preserve">停车收费通知附件二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收费标准</t>
    </r>
    <r>
      <rPr>
        <sz val="10"/>
        <color rgb="FF333333"/>
        <rFont val="微软雅黑"/>
        <family val="0"/>
        <charset val="1"/>
      </rPr>
      <t xml:space="preserve">.doc</t>
    </r>
  </si>
  <si>
    <t xml:space="preserve">2021-08-26</t>
  </si>
  <si>
    <t xml:space="preserve">https://fgw.gz.gov.cn/attachment/7/7475/7475440/7530042.doc</t>
  </si>
  <si>
    <r>
      <rPr>
        <sz val="10"/>
        <color rgb="FF333333"/>
        <rFont val="Noto Sans CJK SC"/>
        <family val="2"/>
      </rPr>
      <t xml:space="preserve">南沙对应的日夜间收费及封顶；官方原始</t>
    </r>
    <r>
      <rPr>
        <sz val="10"/>
        <color rgb="FF333333"/>
        <rFont val="微软雅黑"/>
        <family val="0"/>
        <charset val="1"/>
      </rPr>
      <t xml:space="preserve">Word</t>
    </r>
    <r>
      <rPr>
        <sz val="10"/>
        <color rgb="FF333333"/>
        <rFont val="Noto Sans CJK SC"/>
        <family val="2"/>
      </rPr>
      <t xml:space="preserve">附件</t>
    </r>
  </si>
  <si>
    <t xml:space="preserve">c863f67c21a6f39e77192e5008049d7f9e7d3756cf9a317658b60cfb11ccdddc</t>
  </si>
  <si>
    <r>
      <rPr>
        <sz val="10"/>
        <color rgb="FF333333"/>
        <rFont val="微软雅黑"/>
        <family val="0"/>
        <charset val="1"/>
      </rPr>
      <t xml:space="preserve">07_</t>
    </r>
    <r>
      <rPr>
        <sz val="10"/>
        <color rgb="FF333333"/>
        <rFont val="Noto Sans CJK SC"/>
        <family val="2"/>
      </rPr>
      <t xml:space="preserve">转发新能源汽车用电价格通知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穗发改规字</t>
    </r>
    <r>
      <rPr>
        <sz val="10"/>
        <color rgb="FF333333"/>
        <rFont val="微软雅黑"/>
        <family val="0"/>
        <charset val="1"/>
      </rPr>
      <t xml:space="preserve">2018</t>
    </r>
    <r>
      <rPr>
        <sz val="10"/>
        <color rgb="FF333333"/>
        <rFont val="Noto Sans CJK SC"/>
        <family val="2"/>
      </rPr>
      <t xml:space="preserve">年</t>
    </r>
    <r>
      <rPr>
        <sz val="10"/>
        <color rgb="FF333333"/>
        <rFont val="微软雅黑"/>
        <family val="0"/>
        <charset val="1"/>
      </rPr>
      <t xml:space="preserve">12</t>
    </r>
    <r>
      <rPr>
        <sz val="10"/>
        <color rgb="FF333333"/>
        <rFont val="Noto Sans CJK SC"/>
        <family val="2"/>
      </rPr>
      <t xml:space="preserve">号</t>
    </r>
    <r>
      <rPr>
        <sz val="10"/>
        <color rgb="FF333333"/>
        <rFont val="微软雅黑"/>
        <family val="0"/>
        <charset val="1"/>
      </rPr>
      <t xml:space="preserve">.html</t>
    </r>
  </si>
  <si>
    <t xml:space="preserve">广州市发展改革委</t>
  </si>
  <si>
    <r>
      <rPr>
        <sz val="10"/>
        <color rgb="FF333333"/>
        <rFont val="微软雅黑"/>
        <family val="0"/>
        <charset val="1"/>
      </rPr>
      <t xml:space="preserve">2018-09-18</t>
    </r>
    <r>
      <rPr>
        <sz val="10"/>
        <color rgb="FF333333"/>
        <rFont val="Noto Sans CJK SC"/>
        <family val="2"/>
      </rPr>
      <t xml:space="preserve">（正文落款</t>
    </r>
    <r>
      <rPr>
        <sz val="10"/>
        <color rgb="FF333333"/>
        <rFont val="微软雅黑"/>
        <family val="0"/>
        <charset val="1"/>
      </rPr>
      <t xml:space="preserve">2018-09-17</t>
    </r>
    <r>
      <rPr>
        <sz val="10"/>
        <color rgb="FF333333"/>
        <rFont val="Noto Sans CJK SC"/>
        <family val="2"/>
      </rPr>
      <t xml:space="preserve">）</t>
    </r>
  </si>
  <si>
    <t xml:space="preserve">https://fgw.gz.gov.cn/gkmlpt/content/5/5492/post_5492267.html</t>
  </si>
  <si>
    <r>
      <rPr>
        <sz val="10"/>
        <color rgb="FF333333"/>
        <rFont val="Noto Sans CJK SC"/>
        <family val="2"/>
      </rPr>
      <t xml:space="preserve">历史充电收费文件衔接；原网页</t>
    </r>
    <r>
      <rPr>
        <sz val="10"/>
        <color rgb="FF333333"/>
        <rFont val="微软雅黑"/>
        <family val="0"/>
        <charset val="1"/>
      </rPr>
      <t xml:space="preserve">HTML</t>
    </r>
  </si>
  <si>
    <t xml:space="preserve">82a550d435474912ee5290bad5c4518e8b1efe85e2dfbbc7ace41a5c6395ce9e</t>
  </si>
  <si>
    <r>
      <rPr>
        <sz val="10"/>
        <color rgb="FF333333"/>
        <rFont val="微软雅黑"/>
        <family val="0"/>
        <charset val="1"/>
      </rPr>
      <t xml:space="preserve">08_</t>
    </r>
    <r>
      <rPr>
        <sz val="10"/>
        <color rgb="FF333333"/>
        <rFont val="Noto Sans CJK SC"/>
        <family val="2"/>
      </rPr>
      <t xml:space="preserve">新能源汽车用电价格通知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粤发改价格</t>
    </r>
    <r>
      <rPr>
        <sz val="10"/>
        <color rgb="FF333333"/>
        <rFont val="微软雅黑"/>
        <family val="0"/>
        <charset val="1"/>
      </rPr>
      <t xml:space="preserve">2018</t>
    </r>
    <r>
      <rPr>
        <sz val="10"/>
        <color rgb="FF333333"/>
        <rFont val="Noto Sans CJK SC"/>
        <family val="2"/>
      </rPr>
      <t xml:space="preserve">年</t>
    </r>
    <r>
      <rPr>
        <sz val="10"/>
        <color rgb="FF333333"/>
        <rFont val="微软雅黑"/>
        <family val="0"/>
        <charset val="1"/>
      </rPr>
      <t xml:space="preserve">313</t>
    </r>
    <r>
      <rPr>
        <sz val="10"/>
        <color rgb="FF333333"/>
        <rFont val="Noto Sans CJK SC"/>
        <family val="2"/>
      </rPr>
      <t xml:space="preserve">号</t>
    </r>
    <r>
      <rPr>
        <sz val="10"/>
        <color rgb="FF333333"/>
        <rFont val="微软雅黑"/>
        <family val="0"/>
        <charset val="1"/>
      </rPr>
      <t xml:space="preserve">.pdf</t>
    </r>
  </si>
  <si>
    <t xml:space="preserve">广东省发展改革委（广州市发展改革委公开附件）</t>
  </si>
  <si>
    <r>
      <rPr>
        <sz val="10"/>
        <color rgb="FF333333"/>
        <rFont val="Noto Sans CJK SC"/>
        <family val="2"/>
      </rPr>
      <t xml:space="preserve">成文</t>
    </r>
    <r>
      <rPr>
        <sz val="10"/>
        <color rgb="FF333333"/>
        <rFont val="微软雅黑"/>
        <family val="0"/>
        <charset val="1"/>
      </rPr>
      <t xml:space="preserve">2018-06-28</t>
    </r>
    <r>
      <rPr>
        <sz val="10"/>
        <color rgb="FF333333"/>
        <rFont val="Noto Sans CJK SC"/>
        <family val="2"/>
      </rPr>
      <t xml:space="preserve">；广州页面</t>
    </r>
    <r>
      <rPr>
        <sz val="10"/>
        <color rgb="FF333333"/>
        <rFont val="微软雅黑"/>
        <family val="0"/>
        <charset val="1"/>
      </rPr>
      <t xml:space="preserve">2018-09-18</t>
    </r>
  </si>
  <si>
    <t xml:space="preserve">https://fgw.gz.gov.cn/attachment/7/7504/7504176/5492267.pdf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</si>
  <si>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0.8</t>
    </r>
    <r>
      <rPr>
        <sz val="10"/>
        <color rgb="FF333333"/>
        <rFont val="Noto Sans CJK SC"/>
        <family val="2"/>
      </rPr>
      <t xml:space="preserve">元引用依据，历史适用条件</t>
    </r>
  </si>
  <si>
    <t xml:space="preserve">ae991cfc334d92590074d58f23db515f2a8d393deae67fae5c60a251e559cabc</t>
  </si>
  <si>
    <r>
      <rPr>
        <sz val="10"/>
        <color rgb="FF333333"/>
        <rFont val="微软雅黑"/>
        <family val="0"/>
        <charset val="1"/>
      </rPr>
      <t xml:space="preserve">09_</t>
    </r>
    <r>
      <rPr>
        <sz val="10"/>
        <color rgb="FF333333"/>
        <rFont val="Noto Sans CJK SC"/>
        <family val="2"/>
      </rPr>
      <t xml:space="preserve">广东省定价目录</t>
    </r>
    <r>
      <rPr>
        <sz val="10"/>
        <color rgb="FF333333"/>
        <rFont val="微软雅黑"/>
        <family val="0"/>
        <charset val="1"/>
      </rPr>
      <t xml:space="preserve">2022</t>
    </r>
    <r>
      <rPr>
        <sz val="10"/>
        <color rgb="FF333333"/>
        <rFont val="Noto Sans CJK SC"/>
        <family val="2"/>
      </rPr>
      <t xml:space="preserve">年版及印发通知</t>
    </r>
    <r>
      <rPr>
        <sz val="10"/>
        <color rgb="FF333333"/>
        <rFont val="微软雅黑"/>
        <family val="0"/>
        <charset val="1"/>
      </rPr>
      <t xml:space="preserve">.pdf</t>
    </r>
  </si>
  <si>
    <t xml:space="preserve">广东省人民政府办公厅（天河区政府公开原件）</t>
  </si>
  <si>
    <r>
      <rPr>
        <sz val="10"/>
        <color rgb="FF333333"/>
        <rFont val="Noto Sans CJK SC"/>
        <family val="2"/>
      </rPr>
      <t xml:space="preserve">成文</t>
    </r>
    <r>
      <rPr>
        <sz val="10"/>
        <color rgb="FF333333"/>
        <rFont val="微软雅黑"/>
        <family val="0"/>
        <charset val="1"/>
      </rPr>
      <t xml:space="preserve">2022-02-24</t>
    </r>
    <r>
      <rPr>
        <sz val="10"/>
        <color rgb="FF333333"/>
        <rFont val="Noto Sans CJK SC"/>
        <family val="2"/>
      </rPr>
      <t xml:space="preserve">；页面</t>
    </r>
    <r>
      <rPr>
        <sz val="10"/>
        <color rgb="FF333333"/>
        <rFont val="微软雅黑"/>
        <family val="0"/>
        <charset val="1"/>
      </rPr>
      <t xml:space="preserve">2023-01-17</t>
    </r>
  </si>
  <si>
    <t xml:space="preserve">https://www.thnet.gov.cn/attachment/7/7224/7224222/8766863.pdf</t>
  </si>
  <si>
    <r>
      <rPr>
        <sz val="10"/>
        <color rgb="FF333333"/>
        <rFont val="微软雅黑"/>
        <family val="0"/>
        <charset val="1"/>
      </rPr>
      <t xml:space="preserve">2022-03-15</t>
    </r>
    <r>
      <rPr>
        <sz val="10"/>
        <color rgb="FF333333"/>
        <rFont val="Noto Sans CJK SC"/>
        <family val="2"/>
      </rPr>
      <t xml:space="preserve">起的定价范围；官方</t>
    </r>
    <r>
      <rPr>
        <sz val="10"/>
        <color rgb="FF333333"/>
        <rFont val="微软雅黑"/>
        <family val="0"/>
        <charset val="1"/>
      </rPr>
      <t xml:space="preserve">PDF</t>
    </r>
    <r>
      <rPr>
        <sz val="10"/>
        <color rgb="FF333333"/>
        <rFont val="Noto Sans CJK SC"/>
        <family val="2"/>
      </rPr>
      <t xml:space="preserve">，含印发通知及目录</t>
    </r>
  </si>
  <si>
    <t xml:space="preserve">488acf62a896683bafb368e79296971b439f9fb1a8857dbcc5687187b3f79c33</t>
  </si>
  <si>
    <r>
      <rPr>
        <sz val="10"/>
        <color rgb="FF333333"/>
        <rFont val="微软雅黑"/>
        <family val="0"/>
        <charset val="1"/>
      </rPr>
      <t xml:space="preserve">10_</t>
    </r>
    <r>
      <rPr>
        <sz val="10"/>
        <color rgb="FF333333"/>
        <rFont val="Noto Sans CJK SC"/>
        <family val="2"/>
      </rPr>
      <t xml:space="preserve">贯彻省定价目录通知及解读</t>
    </r>
    <r>
      <rPr>
        <sz val="10"/>
        <color rgb="FF333333"/>
        <rFont val="微软雅黑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官方原网页</t>
    </r>
    <r>
      <rPr>
        <sz val="10"/>
        <color rgb="FF333333"/>
        <rFont val="微软雅黑"/>
        <family val="0"/>
        <charset val="1"/>
      </rPr>
      <t xml:space="preserve">.html</t>
    </r>
  </si>
  <si>
    <t xml:space="preserve">广东省发展改革委（汕尾市发展改革局转载）</t>
  </si>
  <si>
    <r>
      <rPr>
        <sz val="10"/>
        <color rgb="FF333333"/>
        <rFont val="微软雅黑"/>
        <family val="0"/>
        <charset val="1"/>
      </rPr>
      <t xml:space="preserve">2022-03-14</t>
    </r>
    <r>
      <rPr>
        <sz val="10"/>
        <color rgb="FF333333"/>
        <rFont val="Noto Sans CJK SC"/>
        <family val="2"/>
      </rPr>
      <t xml:space="preserve">（通知成文</t>
    </r>
    <r>
      <rPr>
        <sz val="10"/>
        <color rgb="FF333333"/>
        <rFont val="微软雅黑"/>
        <family val="0"/>
        <charset val="1"/>
      </rPr>
      <t xml:space="preserve">2022-03-09</t>
    </r>
    <r>
      <rPr>
        <sz val="10"/>
        <color rgb="FF333333"/>
        <rFont val="Noto Sans CJK SC"/>
        <family val="2"/>
      </rPr>
      <t xml:space="preserve">）</t>
    </r>
  </si>
  <si>
    <t xml:space="preserve">https://www.shanwei.gov.cn/swdpb/zhuanti/zdlyxxgk/jgzc/content/post_998504.html</t>
  </si>
  <si>
    <r>
      <rPr>
        <sz val="10"/>
        <color rgb="FF333333"/>
        <rFont val="Noto Sans CJK SC"/>
        <family val="2"/>
      </rPr>
      <t xml:space="preserve">新旧文件衔接、严禁保留目录外定价事项；原网页</t>
    </r>
    <r>
      <rPr>
        <sz val="10"/>
        <color rgb="FF333333"/>
        <rFont val="微软雅黑"/>
        <family val="0"/>
        <charset val="1"/>
      </rPr>
      <t xml:space="preserve">HTML</t>
    </r>
  </si>
  <si>
    <t xml:space="preserve">2ef53d0c59058327f406999090528882c9512f7bd6425998711fac4cf3a5ae7f</t>
  </si>
  <si>
    <t xml:space="preserve">附件</t>
  </si>
  <si>
    <t xml:space="preserve">报告文号</t>
  </si>
  <si>
    <t xml:space="preserve">评估截止日</t>
  </si>
  <si>
    <t xml:space="preserve">签署日</t>
  </si>
  <si>
    <t xml:space="preserve">拟融资总额</t>
  </si>
  <si>
    <t xml:space="preserve">已有融资</t>
  </si>
  <si>
    <r>
      <rPr>
        <b val="true"/>
        <sz val="11"/>
        <color rgb="FFFFFFFF"/>
        <rFont val="微软雅黑"/>
        <family val="0"/>
        <charset val="1"/>
      </rPr>
      <t xml:space="preserve">2024</t>
    </r>
    <r>
      <rPr>
        <b val="true"/>
        <sz val="11"/>
        <color rgb="FFFFFFFF"/>
        <rFont val="Noto Sans CJK SC"/>
        <family val="2"/>
      </rPr>
      <t xml:space="preserve">待发本金</t>
    </r>
  </si>
  <si>
    <t xml:space="preserve">待发期限</t>
  </si>
  <si>
    <t xml:space="preserve">待发利率</t>
  </si>
  <si>
    <t xml:space="preserve">报告本息</t>
  </si>
  <si>
    <t xml:space="preserve">报告覆盖</t>
  </si>
  <si>
    <t xml:space="preserve">处理</t>
  </si>
  <si>
    <t xml:space="preserve">十二期</t>
  </si>
  <si>
    <r>
      <rPr>
        <sz val="10"/>
        <color rgb="FF333333"/>
        <rFont val="Noto Sans CJK SC"/>
        <family val="2"/>
      </rPr>
      <t xml:space="preserve">光领发字（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）</t>
    </r>
    <r>
      <rPr>
        <sz val="10"/>
        <color rgb="FF333333"/>
        <rFont val="微软雅黑"/>
        <family val="0"/>
        <charset val="1"/>
      </rPr>
      <t xml:space="preserve">07-100</t>
    </r>
    <r>
      <rPr>
        <sz val="10"/>
        <color rgb="FF333333"/>
        <rFont val="Noto Sans CJK SC"/>
        <family val="2"/>
      </rPr>
      <t xml:space="preserve">号</t>
    </r>
  </si>
  <si>
    <t xml:space="preserve">2024-02-29</t>
  </si>
  <si>
    <t xml:space="preserve">2024-03-18</t>
  </si>
  <si>
    <t xml:space="preserve">早版，独立复现</t>
  </si>
  <si>
    <t xml:space="preserve">六十一期</t>
  </si>
  <si>
    <r>
      <rPr>
        <sz val="10"/>
        <color rgb="FF333333"/>
        <rFont val="Noto Sans CJK SC"/>
        <family val="2"/>
      </rPr>
      <t xml:space="preserve">光领发字（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）</t>
    </r>
    <r>
      <rPr>
        <sz val="10"/>
        <color rgb="FF333333"/>
        <rFont val="微软雅黑"/>
        <family val="0"/>
        <charset val="1"/>
      </rPr>
      <t xml:space="preserve">07-237</t>
    </r>
    <r>
      <rPr>
        <sz val="10"/>
        <color rgb="FF333333"/>
        <rFont val="Noto Sans CJK SC"/>
        <family val="2"/>
      </rPr>
      <t xml:space="preserve">号</t>
    </r>
  </si>
  <si>
    <t xml:space="preserve">2024-07-31</t>
  </si>
  <si>
    <t xml:space="preserve">2024-08-18</t>
  </si>
  <si>
    <t xml:space="preserve">晚版，主复核融资情景</t>
  </si>
  <si>
    <t xml:space="preserve">六十九期</t>
  </si>
  <si>
    <t xml:space="preserve">与六十一期逐字节相同，不累加</t>
  </si>
  <si>
    <t xml:space="preserve">公告</t>
  </si>
  <si>
    <t xml:space="preserve">三期合计</t>
  </si>
  <si>
    <r>
      <rPr>
        <sz val="10"/>
        <color rgb="FF333333"/>
        <rFont val="微软雅黑"/>
        <family val="0"/>
        <charset val="1"/>
      </rPr>
      <t xml:space="preserve">6400</t>
    </r>
    <r>
      <rPr>
        <sz val="10"/>
        <color rgb="FF333333"/>
        <rFont val="Noto Sans CJK SC"/>
        <family val="2"/>
      </rPr>
      <t xml:space="preserve">仅为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三期募集额；</t>
    </r>
    <r>
      <rPr>
        <sz val="10"/>
        <color rgb="FF333333"/>
        <rFont val="微软雅黑"/>
        <family val="0"/>
        <charset val="1"/>
      </rPr>
      <t xml:space="preserve">11000</t>
    </r>
    <r>
      <rPr>
        <sz val="10"/>
        <color rgb="FF333333"/>
        <rFont val="Noto Sans CJK SC"/>
        <family val="2"/>
      </rPr>
      <t xml:space="preserve">及</t>
    </r>
    <r>
      <rPr>
        <sz val="10"/>
        <color rgb="FF333333"/>
        <rFont val="微软雅黑"/>
        <family val="0"/>
        <charset val="1"/>
      </rPr>
      <t xml:space="preserve">9600</t>
    </r>
    <r>
      <rPr>
        <sz val="10"/>
        <color rgb="FF333333"/>
        <rFont val="Noto Sans CJK SC"/>
        <family val="2"/>
      </rPr>
      <t xml:space="preserve">为各时点计划，不等于本批实际发行额</t>
    </r>
  </si>
  <si>
    <t xml:space="preserve">参数</t>
  </si>
  <si>
    <t xml:space="preserve">值</t>
  </si>
  <si>
    <t xml:space="preserve">来源及解释</t>
  </si>
  <si>
    <t xml:space="preserve">门诊首年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</si>
  <si>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p4</t>
    </r>
  </si>
  <si>
    <t xml:space="preserve">住院首年</t>
  </si>
  <si>
    <t xml:space="preserve">前五年增长</t>
  </si>
  <si>
    <r>
      <rPr>
        <sz val="10"/>
        <color rgb="FF333333"/>
        <rFont val="微软雅黑"/>
        <family val="0"/>
        <charset val="1"/>
      </rPr>
      <t xml:space="preserve">2029—2032</t>
    </r>
    <r>
      <rPr>
        <sz val="10"/>
        <color rgb="FF333333"/>
        <rFont val="Noto Sans CJK SC"/>
        <family val="2"/>
      </rPr>
      <t xml:space="preserve">四次增长，</t>
    </r>
    <r>
      <rPr>
        <sz val="10"/>
        <color rgb="FF333333"/>
        <rFont val="微软雅黑"/>
        <family val="0"/>
        <charset val="1"/>
      </rPr>
      <t xml:space="preserve">2028</t>
    </r>
    <r>
      <rPr>
        <sz val="10"/>
        <color rgb="FF333333"/>
        <rFont val="Noto Sans CJK SC"/>
        <family val="2"/>
      </rPr>
      <t xml:space="preserve">基期</t>
    </r>
  </si>
  <si>
    <t xml:space="preserve">六至十年增长</t>
  </si>
  <si>
    <r>
      <rPr>
        <sz val="10"/>
        <color rgb="FF333333"/>
        <rFont val="微软雅黑"/>
        <family val="0"/>
        <charset val="1"/>
      </rPr>
      <t xml:space="preserve">2033—2037</t>
    </r>
    <r>
      <rPr>
        <sz val="10"/>
        <color rgb="FF333333"/>
        <rFont val="Noto Sans CJK SC"/>
        <family val="2"/>
      </rPr>
      <t xml:space="preserve">五次增长</t>
    </r>
  </si>
  <si>
    <t xml:space="preserve">十一年后增长</t>
  </si>
  <si>
    <r>
      <rPr>
        <sz val="10"/>
        <color rgb="FF333333"/>
        <rFont val="微软雅黑"/>
        <family val="0"/>
        <charset val="1"/>
      </rPr>
      <t xml:space="preserve">2038</t>
    </r>
    <r>
      <rPr>
        <sz val="10"/>
        <color rgb="FF333333"/>
        <rFont val="Noto Sans CJK SC"/>
        <family val="2"/>
      </rPr>
      <t xml:space="preserve">起</t>
    </r>
  </si>
  <si>
    <t xml:space="preserve">车位</t>
  </si>
  <si>
    <t xml:space="preserve">全年天数</t>
  </si>
  <si>
    <r>
      <rPr>
        <sz val="10"/>
        <color rgb="FF333333"/>
        <rFont val="Noto Sans CJK SC"/>
        <family val="2"/>
      </rPr>
      <t xml:space="preserve">保持报告</t>
    </r>
    <r>
      <rPr>
        <sz val="10"/>
        <color rgb="FF333333"/>
        <rFont val="微软雅黑"/>
        <family val="0"/>
        <charset val="1"/>
      </rPr>
      <t xml:space="preserve">365</t>
    </r>
    <r>
      <rPr>
        <sz val="10"/>
        <color rgb="FF333333"/>
        <rFont val="Noto Sans CJK SC"/>
        <family val="2"/>
      </rPr>
      <t xml:space="preserve">，不另作闰年调整</t>
    </r>
  </si>
  <si>
    <t xml:space="preserve">日间单价每半小时</t>
  </si>
  <si>
    <r>
      <rPr>
        <sz val="10"/>
        <color rgb="FF333333"/>
        <rFont val="Noto Sans CJK SC"/>
        <family val="2"/>
      </rPr>
      <t xml:space="preserve">停车标准副中心外围</t>
    </r>
    <r>
      <rPr>
        <sz val="10"/>
        <color rgb="FF333333"/>
        <rFont val="微软雅黑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小时内</t>
    </r>
  </si>
  <si>
    <t xml:space="preserve">日间停留小时</t>
  </si>
  <si>
    <t xml:space="preserve">日间周转</t>
  </si>
  <si>
    <t xml:space="preserve">首五年日间使用率</t>
  </si>
  <si>
    <t xml:space="preserve">后期日间使用率</t>
  </si>
  <si>
    <t xml:space="preserve">夜间单价每半小时</t>
  </si>
  <si>
    <t xml:space="preserve">停车标准</t>
  </si>
  <si>
    <t xml:space="preserve">夜间停留小时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</si>
  <si>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p5</t>
    </r>
  </si>
  <si>
    <t xml:space="preserve">夜间周转</t>
  </si>
  <si>
    <t xml:space="preserve">首五年夜间使用率</t>
  </si>
  <si>
    <t xml:space="preserve">后期夜间使用率</t>
  </si>
  <si>
    <t xml:space="preserve">夜间每次最高价</t>
  </si>
  <si>
    <r>
      <rPr>
        <sz val="10"/>
        <color rgb="FF333333"/>
        <rFont val="Noto Sans CJK SC"/>
        <family val="2"/>
      </rPr>
      <t xml:space="preserve">停车标准；不误用</t>
    </r>
    <r>
      <rPr>
        <sz val="10"/>
        <color rgb="FF333333"/>
        <rFont val="微软雅黑"/>
        <family val="0"/>
        <charset val="1"/>
      </rPr>
      <t xml:space="preserve">27</t>
    </r>
    <r>
      <rPr>
        <sz val="10"/>
        <color rgb="FF333333"/>
        <rFont val="Noto Sans CJK SC"/>
        <family val="2"/>
      </rPr>
      <t xml:space="preserve">元</t>
    </r>
    <r>
      <rPr>
        <sz val="10"/>
        <color rgb="FF333333"/>
        <rFont val="微软雅黑"/>
        <family val="0"/>
        <charset val="1"/>
      </rPr>
      <t xml:space="preserve">24</t>
    </r>
    <r>
      <rPr>
        <sz val="10"/>
        <color rgb="FF333333"/>
        <rFont val="Noto Sans CJK SC"/>
        <family val="2"/>
      </rPr>
      <t xml:space="preserve">小时封顶</t>
    </r>
  </si>
  <si>
    <t xml:space="preserve">原报告每五年提价</t>
  </si>
  <si>
    <t xml:space="preserve">仅复现，不认定已获批准</t>
  </si>
  <si>
    <t xml:space="preserve">充电桩比例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</si>
  <si>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p5</t>
    </r>
    <r>
      <rPr>
        <sz val="10"/>
        <color rgb="FF333333"/>
        <rFont val="Noto Sans CJK SC"/>
        <family val="2"/>
      </rPr>
      <t xml:space="preserve">经营假设，不作为配建合规认定</t>
    </r>
  </si>
  <si>
    <t xml:space="preserve">每桩每日充电车次</t>
  </si>
  <si>
    <t xml:space="preserve">每次充电量千瓦时</t>
  </si>
  <si>
    <t xml:space="preserve">充电服务费元每千瓦时</t>
  </si>
  <si>
    <r>
      <rPr>
        <sz val="10"/>
        <color rgb="FF333333"/>
        <rFont val="Noto Sans CJK SC"/>
        <family val="2"/>
      </rPr>
      <t xml:space="preserve">保留经营假设，不认定</t>
    </r>
    <r>
      <rPr>
        <sz val="10"/>
        <color rgb="FF333333"/>
        <rFont val="微软雅黑"/>
        <family val="0"/>
        <charset val="1"/>
      </rPr>
      <t xml:space="preserve">2025</t>
    </r>
    <r>
      <rPr>
        <sz val="10"/>
        <color rgb="FF333333"/>
        <rFont val="Noto Sans CJK SC"/>
        <family val="2"/>
      </rPr>
      <t xml:space="preserve">法定上限</t>
    </r>
  </si>
  <si>
    <t xml:space="preserve">充电第一周期增长</t>
  </si>
  <si>
    <t xml:space="preserve">报告文字歧义保留甲乙</t>
  </si>
  <si>
    <t xml:space="preserve">充电后续周期增长</t>
  </si>
  <si>
    <t xml:space="preserve">工资首年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</si>
  <si>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p6/</t>
    </r>
    <r>
      <rPr>
        <sz val="10"/>
        <color rgb="FF333333"/>
        <rFont val="Noto Sans CJK SC"/>
        <family val="2"/>
      </rPr>
      <t xml:space="preserve">早版</t>
    </r>
    <r>
      <rPr>
        <sz val="10"/>
        <color rgb="FF333333"/>
        <rFont val="微软雅黑"/>
        <family val="0"/>
        <charset val="1"/>
      </rPr>
      <t xml:space="preserve">p5</t>
    </r>
  </si>
  <si>
    <t xml:space="preserve">药品首年</t>
  </si>
  <si>
    <t xml:space="preserve">同上</t>
  </si>
  <si>
    <t xml:space="preserve">卫生材料首年</t>
  </si>
  <si>
    <t xml:space="preserve">水电燃气首年</t>
  </si>
  <si>
    <t xml:space="preserve">其他业务首年</t>
  </si>
  <si>
    <t xml:space="preserve">维修首年</t>
  </si>
  <si>
    <t xml:space="preserve">六项费用增长</t>
  </si>
  <si>
    <r>
      <rPr>
        <sz val="10"/>
        <color rgb="FF333333"/>
        <rFont val="Noto Sans CJK SC"/>
        <family val="2"/>
      </rPr>
      <t xml:space="preserve">报告正文每年增长</t>
    </r>
    <r>
      <rPr>
        <sz val="10"/>
        <color rgb="FF333333"/>
        <rFont val="微软雅黑"/>
        <family val="0"/>
        <charset val="1"/>
      </rPr>
      <t xml:space="preserve">3%</t>
    </r>
  </si>
  <si>
    <t xml:space="preserve">映射年份</t>
  </si>
  <si>
    <t xml:space="preserve">门诊</t>
  </si>
  <si>
    <t xml:space="preserve">住院</t>
  </si>
  <si>
    <t xml:space="preserve">停车</t>
  </si>
  <si>
    <t xml:space="preserve">充电</t>
  </si>
  <si>
    <t xml:space="preserve">报告合计</t>
  </si>
  <si>
    <t xml:space="preserve">明细加总</t>
  </si>
  <si>
    <t xml:space="preserve">明细减报告</t>
  </si>
  <si>
    <t xml:space="preserve">出处</t>
  </si>
  <si>
    <r>
      <rPr>
        <sz val="10"/>
        <color rgb="FF333333"/>
        <rFont val="Noto Sans CJK SC"/>
        <family val="2"/>
      </rPr>
      <t xml:space="preserve">三报告</t>
    </r>
    <r>
      <rPr>
        <sz val="10"/>
        <color rgb="FF333333"/>
        <rFont val="微软雅黑"/>
        <family val="0"/>
        <charset val="1"/>
      </rPr>
      <t xml:space="preserve">p5</t>
    </r>
  </si>
  <si>
    <t xml:space="preserve">合计</t>
  </si>
  <si>
    <t xml:space="preserve">工资</t>
  </si>
  <si>
    <t xml:space="preserve">药品</t>
  </si>
  <si>
    <t xml:space="preserve">卫生材料</t>
  </si>
  <si>
    <t xml:space="preserve">水电燃气</t>
  </si>
  <si>
    <t xml:space="preserve">其他</t>
  </si>
  <si>
    <t xml:space="preserve">维修</t>
  </si>
  <si>
    <t xml:space="preserve">管理费</t>
  </si>
  <si>
    <t xml:space="preserve">七项加总</t>
  </si>
  <si>
    <t xml:space="preserve">加总差</t>
  </si>
  <si>
    <r>
      <rPr>
        <b val="true"/>
        <sz val="11"/>
        <color rgb="FFFFFFFF"/>
        <rFont val="Noto Sans CJK SC"/>
        <family val="2"/>
      </rPr>
      <t xml:space="preserve">收入</t>
    </r>
    <r>
      <rPr>
        <b val="true"/>
        <sz val="11"/>
        <color rgb="FFFFFFFF"/>
        <rFont val="微软雅黑"/>
        <family val="0"/>
        <charset val="1"/>
      </rPr>
      <t xml:space="preserve">2%</t>
    </r>
  </si>
  <si>
    <r>
      <rPr>
        <b val="true"/>
        <sz val="11"/>
        <color rgb="FFFFFFFF"/>
        <rFont val="Noto Sans CJK SC"/>
        <family val="2"/>
      </rPr>
      <t xml:space="preserve">收入</t>
    </r>
    <r>
      <rPr>
        <b val="true"/>
        <sz val="11"/>
        <color rgb="FFFFFFFF"/>
        <rFont val="微软雅黑"/>
        <family val="0"/>
        <charset val="1"/>
      </rPr>
      <t xml:space="preserve">5%</t>
    </r>
  </si>
  <si>
    <r>
      <rPr>
        <b val="true"/>
        <sz val="11"/>
        <color rgb="FFFFFFFF"/>
        <rFont val="微软雅黑"/>
        <family val="0"/>
        <charset val="1"/>
      </rPr>
      <t xml:space="preserve">2%</t>
    </r>
    <r>
      <rPr>
        <b val="true"/>
        <sz val="11"/>
        <color rgb="FFFFFFFF"/>
        <rFont val="Noto Sans CJK SC"/>
        <family val="2"/>
      </rPr>
      <t xml:space="preserve">减原管理费</t>
    </r>
  </si>
  <si>
    <t xml:space="preserve">有效费率</t>
  </si>
  <si>
    <r>
      <rPr>
        <sz val="10"/>
        <color rgb="FF333333"/>
        <rFont val="Noto Sans CJK SC"/>
        <family val="2"/>
      </rPr>
      <t xml:space="preserve">三报告</t>
    </r>
    <r>
      <rPr>
        <sz val="10"/>
        <color rgb="FF333333"/>
        <rFont val="微软雅黑"/>
        <family val="0"/>
        <charset val="1"/>
      </rPr>
      <t xml:space="preserve">p6</t>
    </r>
  </si>
  <si>
    <t xml:space="preserve">版本</t>
  </si>
  <si>
    <t xml:space="preserve">批次</t>
  </si>
  <si>
    <t xml:space="preserve">发行年</t>
  </si>
  <si>
    <t xml:space="preserve">本金</t>
  </si>
  <si>
    <t xml:space="preserve">利率</t>
  </si>
  <si>
    <t xml:space="preserve">期限年</t>
  </si>
  <si>
    <t xml:space="preserve">报告偿本年序</t>
  </si>
  <si>
    <t xml:space="preserve">年息</t>
  </si>
  <si>
    <t xml:space="preserve">全期限利息</t>
  </si>
  <si>
    <t xml:space="preserve">按发行年推到期年</t>
  </si>
  <si>
    <t xml:space="preserve">报告映射年</t>
  </si>
  <si>
    <t xml:space="preserve">年差</t>
  </si>
  <si>
    <r>
      <rPr>
        <sz val="10"/>
        <color rgb="FF333333"/>
        <rFont val="微软雅黑"/>
        <family val="0"/>
        <charset val="1"/>
      </rPr>
      <t xml:space="preserve">2022</t>
    </r>
    <r>
      <rPr>
        <sz val="10"/>
        <color rgb="FF333333"/>
        <rFont val="Noto Sans CJK SC"/>
        <family val="2"/>
      </rPr>
      <t xml:space="preserve">三十期</t>
    </r>
  </si>
  <si>
    <r>
      <rPr>
        <sz val="10"/>
        <color rgb="FF333333"/>
        <rFont val="微软雅黑"/>
        <family val="0"/>
        <charset val="1"/>
      </rPr>
      <t xml:space="preserve">2023</t>
    </r>
    <r>
      <rPr>
        <sz val="10"/>
        <color rgb="FF333333"/>
        <rFont val="Noto Sans CJK SC"/>
        <family val="2"/>
      </rPr>
      <t xml:space="preserve">二十二期</t>
    </r>
  </si>
  <si>
    <r>
      <rPr>
        <sz val="10"/>
        <color rgb="FF333333"/>
        <rFont val="微软雅黑"/>
        <family val="0"/>
        <charset val="1"/>
      </rPr>
      <t xml:space="preserve">2023</t>
    </r>
    <r>
      <rPr>
        <sz val="10"/>
        <color rgb="FF333333"/>
        <rFont val="Noto Sans CJK SC"/>
        <family val="2"/>
      </rPr>
      <t xml:space="preserve">三十四期</t>
    </r>
  </si>
  <si>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待发</t>
    </r>
  </si>
  <si>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十二期</t>
    </r>
  </si>
  <si>
    <t xml:space="preserve">早本金</t>
  </si>
  <si>
    <t xml:space="preserve">早利息</t>
  </si>
  <si>
    <t xml:space="preserve">早本息</t>
  </si>
  <si>
    <t xml:space="preserve">晚本金</t>
  </si>
  <si>
    <t xml:space="preserve">晚利息</t>
  </si>
  <si>
    <t xml:space="preserve">晚本息</t>
  </si>
  <si>
    <t xml:space="preserve">早利息复算</t>
  </si>
  <si>
    <t xml:space="preserve">晚利息复算</t>
  </si>
  <si>
    <t xml:space="preserve">早差</t>
  </si>
  <si>
    <t xml:space="preserve">晚差</t>
  </si>
  <si>
    <t xml:space="preserve">已融资</t>
  </si>
  <si>
    <t xml:space="preserve">年份</t>
  </si>
  <si>
    <t xml:space="preserve">运营年</t>
  </si>
  <si>
    <t xml:space="preserve">医疗合计</t>
  </si>
  <si>
    <t xml:space="preserve">日间原价</t>
  </si>
  <si>
    <t xml:space="preserve">夜间原价</t>
  </si>
  <si>
    <t xml:space="preserve">日间使用率</t>
  </si>
  <si>
    <t xml:space="preserve">夜间使用率</t>
  </si>
  <si>
    <t xml:space="preserve">原停车复算</t>
  </si>
  <si>
    <t xml:space="preserve">封顶冻结停车</t>
  </si>
  <si>
    <t xml:space="preserve">原表充电</t>
  </si>
  <si>
    <t xml:space="preserve">非管理费用</t>
  </si>
  <si>
    <t xml:space="preserve">表列总收入</t>
  </si>
  <si>
    <t xml:space="preserve">停车修正收入</t>
  </si>
  <si>
    <t xml:space="preserve">停车加充电甲收入</t>
  </si>
  <si>
    <t xml:space="preserve">停车加充电乙收入</t>
  </si>
  <si>
    <t xml:space="preserve">原表成本</t>
  </si>
  <si>
    <t xml:space="preserve">原表净收益</t>
  </si>
  <si>
    <t xml:space="preserve">原表管理费</t>
  </si>
  <si>
    <t xml:space="preserve">原停车减表列</t>
  </si>
  <si>
    <t xml:space="preserve">驱动收入列号</t>
  </si>
  <si>
    <t xml:space="preserve">管理费率</t>
  </si>
  <si>
    <t xml:space="preserve">收入降幅</t>
  </si>
  <si>
    <t xml:space="preserve">成本处理</t>
  </si>
  <si>
    <t xml:space="preserve">净收益降幅</t>
  </si>
  <si>
    <t xml:space="preserve">联动</t>
  </si>
  <si>
    <t xml:space="preserve">基准收入</t>
  </si>
  <si>
    <t xml:space="preserve">压力后收入</t>
  </si>
  <si>
    <t xml:space="preserve">非管理费</t>
  </si>
  <si>
    <t xml:space="preserve">成本</t>
  </si>
  <si>
    <t xml:space="preserve">净收益</t>
  </si>
  <si>
    <t xml:space="preserve">利息</t>
  </si>
  <si>
    <t xml:space="preserve">本息</t>
  </si>
  <si>
    <t xml:space="preserve">单年差额</t>
  </si>
  <si>
    <t xml:space="preserve">未补资累计</t>
  </si>
  <si>
    <t xml:space="preserve">本年所需新增补资</t>
  </si>
  <si>
    <t xml:space="preserve">已补资累计</t>
  </si>
  <si>
    <t xml:space="preserve">补资后余额</t>
  </si>
  <si>
    <t xml:space="preserve">事项</t>
  </si>
  <si>
    <t xml:space="preserve">证据位置</t>
  </si>
  <si>
    <t xml:space="preserve">发现</t>
  </si>
  <si>
    <t xml:space="preserve">量化或处理</t>
  </si>
  <si>
    <t xml:space="preserve">应补正内容</t>
  </si>
  <si>
    <r>
      <rPr>
        <sz val="10"/>
        <color rgb="FF333333"/>
        <rFont val="Noto Sans CJK SC"/>
        <family val="2"/>
      </rPr>
      <t xml:space="preserve">三报告</t>
    </r>
    <r>
      <rPr>
        <sz val="10"/>
        <color rgb="FF333333"/>
        <rFont val="微软雅黑"/>
        <family val="0"/>
        <charset val="1"/>
      </rPr>
      <t xml:space="preserve">p1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软雅黑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软雅黑"/>
        <family val="0"/>
        <charset val="1"/>
      </rPr>
      <t xml:space="preserve">12</t>
    </r>
  </si>
  <si>
    <r>
      <rPr>
        <sz val="10"/>
        <color rgb="FF333333"/>
        <rFont val="Noto Sans CJK SC"/>
        <family val="2"/>
      </rPr>
      <t xml:space="preserve">六十一与六十九逐字节相同；早版</t>
    </r>
    <r>
      <rPr>
        <sz val="10"/>
        <color rgb="FF333333"/>
        <rFont val="微软雅黑"/>
        <family val="0"/>
        <charset val="1"/>
      </rPr>
      <t xml:space="preserve">07-100</t>
    </r>
    <r>
      <rPr>
        <sz val="10"/>
        <color rgb="FF333333"/>
        <rFont val="Noto Sans CJK SC"/>
        <family val="2"/>
      </rPr>
      <t xml:space="preserve">、晚版</t>
    </r>
    <r>
      <rPr>
        <sz val="10"/>
        <color rgb="FF333333"/>
        <rFont val="微软雅黑"/>
        <family val="0"/>
        <charset val="1"/>
      </rPr>
      <t xml:space="preserve">07-237</t>
    </r>
  </si>
  <si>
    <t xml:space="preserve">不得相加本金或收益</t>
  </si>
  <si>
    <t xml:space="preserve">形成版本对照，要求实际发行批次映射</t>
  </si>
  <si>
    <t xml:space="preserve">公告与计划</t>
  </si>
  <si>
    <r>
      <rPr>
        <sz val="10"/>
        <color rgb="FF333333"/>
        <rFont val="Noto Sans CJK SC"/>
        <family val="2"/>
      </rPr>
      <t xml:space="preserve">公告正文；报告</t>
    </r>
    <r>
      <rPr>
        <sz val="10"/>
        <color rgb="FF333333"/>
        <rFont val="微软雅黑"/>
        <family val="0"/>
        <charset val="1"/>
      </rPr>
      <t xml:space="preserve">p3</t>
    </r>
  </si>
  <si>
    <r>
      <rPr>
        <sz val="10"/>
        <color rgb="FF333333"/>
        <rFont val="微软雅黑"/>
        <family val="0"/>
        <charset val="1"/>
      </rPr>
      <t xml:space="preserve">6400</t>
    </r>
    <r>
      <rPr>
        <sz val="10"/>
        <color rgb="FF333333"/>
        <rFont val="Noto Sans CJK SC"/>
        <family val="2"/>
      </rPr>
      <t xml:space="preserve">为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年募集额，</t>
    </r>
    <r>
      <rPr>
        <sz val="10"/>
        <color rgb="FF333333"/>
        <rFont val="微软雅黑"/>
        <family val="0"/>
        <charset val="1"/>
      </rPr>
      <t xml:space="preserve">11000/9600</t>
    </r>
    <r>
      <rPr>
        <sz val="10"/>
        <color rgb="FF333333"/>
        <rFont val="Noto Sans CJK SC"/>
        <family val="2"/>
      </rPr>
      <t xml:space="preserve">是计划</t>
    </r>
  </si>
  <si>
    <t xml:space="preserve">不得用计划替代实际余额</t>
  </si>
  <si>
    <t xml:space="preserve">补充已发与拟发对应说明</t>
  </si>
  <si>
    <r>
      <rPr>
        <sz val="10"/>
        <color rgb="FF333333"/>
        <rFont val="Noto Sans CJK SC"/>
        <family val="2"/>
      </rPr>
      <t xml:space="preserve">三报告费用正文和</t>
    </r>
    <r>
      <rPr>
        <sz val="10"/>
        <color rgb="FF333333"/>
        <rFont val="微软雅黑"/>
        <family val="0"/>
        <charset val="1"/>
      </rPr>
      <t xml:space="preserve">p6</t>
    </r>
    <r>
      <rPr>
        <sz val="10"/>
        <color rgb="FF333333"/>
        <rFont val="Noto Sans CJK SC"/>
        <family val="2"/>
      </rPr>
      <t xml:space="preserve">表</t>
    </r>
  </si>
  <si>
    <r>
      <rPr>
        <sz val="10"/>
        <color rgb="FF333333"/>
        <rFont val="Noto Sans CJK SC"/>
        <family val="2"/>
      </rPr>
      <t xml:space="preserve">首年</t>
    </r>
    <r>
      <rPr>
        <sz val="10"/>
        <color rgb="FF333333"/>
        <rFont val="微软雅黑"/>
        <family val="0"/>
        <charset val="1"/>
      </rPr>
      <t xml:space="preserve">184.69≈</t>
    </r>
    <r>
      <rPr>
        <sz val="10"/>
        <color rgb="FF333333"/>
        <rFont val="Noto Sans CJK SC"/>
        <family val="2"/>
      </rPr>
      <t xml:space="preserve">收入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，正文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；</t>
    </r>
    <r>
      <rPr>
        <sz val="10"/>
        <color rgb="FF333333"/>
        <rFont val="微软雅黑"/>
        <family val="0"/>
        <charset val="1"/>
      </rPr>
      <t xml:space="preserve">2037</t>
    </r>
    <r>
      <rPr>
        <sz val="10"/>
        <color rgb="FF333333"/>
        <rFont val="Noto Sans CJK SC"/>
        <family val="2"/>
      </rPr>
      <t xml:space="preserve">后连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也不一致</t>
    </r>
  </si>
  <si>
    <r>
      <rPr>
        <sz val="10"/>
        <color rgb="FF333333"/>
        <rFont val="Noto Sans CJK SC"/>
        <family val="2"/>
      </rPr>
      <t xml:space="preserve">统一</t>
    </r>
    <r>
      <rPr>
        <sz val="10"/>
        <color rgb="FF333333"/>
        <rFont val="微软雅黑"/>
        <family val="0"/>
        <charset val="1"/>
      </rPr>
      <t xml:space="preserve">2%</t>
    </r>
    <r>
      <rPr>
        <sz val="10"/>
        <color rgb="FF333333"/>
        <rFont val="Noto Sans CJK SC"/>
        <family val="2"/>
      </rPr>
      <t xml:space="preserve">净收益</t>
    </r>
    <r>
      <rPr>
        <sz val="10"/>
        <color rgb="FF333333"/>
        <rFont val="微软雅黑"/>
        <family val="0"/>
        <charset val="1"/>
      </rPr>
      <t xml:space="preserve">75410.00</t>
    </r>
    <r>
      <rPr>
        <sz val="10"/>
        <color rgb="FF333333"/>
        <rFont val="Noto Sans CJK SC"/>
        <family val="2"/>
      </rPr>
      <t xml:space="preserve">；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为</t>
    </r>
    <r>
      <rPr>
        <sz val="10"/>
        <color rgb="FF333333"/>
        <rFont val="微软雅黑"/>
        <family val="0"/>
        <charset val="1"/>
      </rPr>
      <t xml:space="preserve">69254.50</t>
    </r>
  </si>
  <si>
    <t xml:space="preserve">确认管理费率及费用表生成公式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</si>
  <si>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p4—5</t>
    </r>
    <r>
      <rPr>
        <sz val="10"/>
        <color rgb="FF333333"/>
        <rFont val="Noto Sans CJK SC"/>
        <family val="2"/>
      </rPr>
      <t xml:space="preserve">；停车标准副中心及外围行</t>
    </r>
  </si>
  <si>
    <r>
      <rPr>
        <sz val="10"/>
        <color rgb="FF333333"/>
        <rFont val="微软雅黑"/>
        <family val="0"/>
        <charset val="1"/>
      </rPr>
      <t xml:space="preserve">9</t>
    </r>
    <r>
      <rPr>
        <sz val="10"/>
        <color rgb="FF333333"/>
        <rFont val="Noto Sans CJK SC"/>
        <family val="2"/>
      </rPr>
      <t xml:space="preserve">小时夜停按</t>
    </r>
    <r>
      <rPr>
        <sz val="10"/>
        <color rgb="FF333333"/>
        <rFont val="微软雅黑"/>
        <family val="0"/>
        <charset val="1"/>
      </rPr>
      <t xml:space="preserve">18</t>
    </r>
    <r>
      <rPr>
        <sz val="10"/>
        <color rgb="FF333333"/>
        <rFont val="Noto Sans CJK SC"/>
        <family val="2"/>
      </rPr>
      <t xml:space="preserve">元等乘算，遗漏</t>
    </r>
    <r>
      <rPr>
        <sz val="10"/>
        <color rgb="FF333333"/>
        <rFont val="微软雅黑"/>
        <family val="0"/>
        <charset val="1"/>
      </rPr>
      <t xml:space="preserve">10</t>
    </r>
    <r>
      <rPr>
        <sz val="10"/>
        <color rgb="FF333333"/>
        <rFont val="Noto Sans CJK SC"/>
        <family val="2"/>
      </rPr>
      <t xml:space="preserve">元封顶；每</t>
    </r>
    <r>
      <rPr>
        <sz val="10"/>
        <color rgb="FF333333"/>
        <rFont val="微软雅黑"/>
        <family val="0"/>
        <charset val="1"/>
      </rPr>
      <t xml:space="preserve">5</t>
    </r>
    <r>
      <rPr>
        <sz val="10"/>
        <color rgb="FF333333"/>
        <rFont val="Noto Sans CJK SC"/>
        <family val="2"/>
      </rPr>
      <t xml:space="preserve">年提价</t>
    </r>
    <r>
      <rPr>
        <sz val="10"/>
        <color rgb="FF333333"/>
        <rFont val="微软雅黑"/>
        <family val="0"/>
        <charset val="1"/>
      </rPr>
      <t xml:space="preserve">0.5</t>
    </r>
    <r>
      <rPr>
        <sz val="10"/>
        <color rgb="FF333333"/>
        <rFont val="Noto Sans CJK SC"/>
        <family val="2"/>
      </rPr>
      <t xml:space="preserve">无文件授权</t>
    </r>
  </si>
  <si>
    <r>
      <rPr>
        <sz val="10"/>
        <color rgb="FF333333"/>
        <rFont val="Noto Sans CJK SC"/>
        <family val="2"/>
      </rPr>
      <t xml:space="preserve">首年应</t>
    </r>
    <r>
      <rPr>
        <sz val="10"/>
        <color rgb="FF333333"/>
        <rFont val="微软雅黑"/>
        <family val="0"/>
        <charset val="1"/>
      </rPr>
      <t xml:space="preserve">512.46</t>
    </r>
    <r>
      <rPr>
        <sz val="10"/>
        <color rgb="FF333333"/>
        <rFont val="Noto Sans CJK SC"/>
        <family val="2"/>
      </rPr>
      <t xml:space="preserve">；</t>
    </r>
    <r>
      <rPr>
        <sz val="10"/>
        <color rgb="FF333333"/>
        <rFont val="微软雅黑"/>
        <family val="0"/>
        <charset val="1"/>
      </rPr>
      <t xml:space="preserve">14</t>
    </r>
    <r>
      <rPr>
        <sz val="10"/>
        <color rgb="FF333333"/>
        <rFont val="Noto Sans CJK SC"/>
        <family val="2"/>
      </rPr>
      <t xml:space="preserve">年冻结单价</t>
    </r>
    <r>
      <rPr>
        <sz val="10"/>
        <color rgb="FF333333"/>
        <rFont val="微软雅黑"/>
        <family val="0"/>
        <charset val="1"/>
      </rPr>
      <t xml:space="preserve">7805.16</t>
    </r>
  </si>
  <si>
    <t xml:space="preserve">补正封顶及调价假设，说明优惠车辆及单独核定情况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</si>
  <si>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p5</t>
    </r>
    <r>
      <rPr>
        <sz val="10"/>
        <color rgb="FF333333"/>
        <rFont val="Noto Sans CJK SC"/>
        <family val="2"/>
      </rPr>
      <t xml:space="preserve">；</t>
    </r>
    <r>
      <rPr>
        <sz val="10"/>
        <color rgb="FF333333"/>
        <rFont val="微软雅黑"/>
        <family val="0"/>
        <charset val="1"/>
      </rPr>
      <t xml:space="preserve">2018</t>
    </r>
    <r>
      <rPr>
        <sz val="10"/>
        <color rgb="FF333333"/>
        <rFont val="Noto Sans CJK SC"/>
        <family val="2"/>
      </rPr>
      <t xml:space="preserve">通知第四条；</t>
    </r>
    <r>
      <rPr>
        <sz val="10"/>
        <color rgb="FF333333"/>
        <rFont val="微软雅黑"/>
        <family val="0"/>
        <charset val="1"/>
      </rPr>
      <t xml:space="preserve">2022</t>
    </r>
    <r>
      <rPr>
        <sz val="10"/>
        <color rgb="FF333333"/>
        <rFont val="Noto Sans CJK SC"/>
        <family val="2"/>
      </rPr>
      <t xml:space="preserve">目录及实施解读</t>
    </r>
  </si>
  <si>
    <r>
      <rPr>
        <sz val="10"/>
        <color rgb="FF333333"/>
        <rFont val="微软雅黑"/>
        <family val="0"/>
        <charset val="1"/>
      </rPr>
      <t xml:space="preserve">0.8</t>
    </r>
    <r>
      <rPr>
        <sz val="10"/>
        <color rgb="FF333333"/>
        <rFont val="Noto Sans CJK SC"/>
        <family val="2"/>
      </rPr>
      <t xml:space="preserve">是历史标准，目录外价格不能继续保留政府定价；表中</t>
    </r>
    <r>
      <rPr>
        <sz val="10"/>
        <color rgb="FF333333"/>
        <rFont val="微软雅黑"/>
        <family val="0"/>
        <charset val="1"/>
      </rPr>
      <t xml:space="preserve">2029</t>
    </r>
    <r>
      <rPr>
        <sz val="10"/>
        <color rgb="FF333333"/>
        <rFont val="Noto Sans CJK SC"/>
        <family val="2"/>
      </rPr>
      <t xml:space="preserve">涨</t>
    </r>
    <r>
      <rPr>
        <sz val="10"/>
        <color rgb="FF333333"/>
        <rFont val="微软雅黑"/>
        <family val="0"/>
        <charset val="1"/>
      </rPr>
      <t xml:space="preserve">25%</t>
    </r>
    <r>
      <rPr>
        <sz val="10"/>
        <color rgb="FF333333"/>
        <rFont val="Noto Sans CJK SC"/>
        <family val="2"/>
      </rPr>
      <t xml:space="preserve">早于五年周期</t>
    </r>
  </si>
  <si>
    <r>
      <rPr>
        <sz val="10"/>
        <color rgb="FF333333"/>
        <rFont val="Noto Sans CJK SC"/>
        <family val="2"/>
      </rPr>
      <t xml:space="preserve">保留</t>
    </r>
    <r>
      <rPr>
        <sz val="10"/>
        <color rgb="FF333333"/>
        <rFont val="微软雅黑"/>
        <family val="0"/>
        <charset val="1"/>
      </rPr>
      <t xml:space="preserve">0.8</t>
    </r>
    <r>
      <rPr>
        <sz val="10"/>
        <color rgb="FF333333"/>
        <rFont val="Noto Sans CJK SC"/>
        <family val="2"/>
      </rPr>
      <t xml:space="preserve">经营假设，甲乙周期单列</t>
    </r>
  </si>
  <si>
    <t xml:space="preserve">说明需求增长与单价增长，不认定首年假设为已证实经营数据</t>
  </si>
  <si>
    <r>
      <rPr>
        <sz val="10"/>
        <color rgb="FF333333"/>
        <rFont val="Noto Sans CJK SC"/>
        <family val="2"/>
      </rPr>
      <t xml:space="preserve">晚版</t>
    </r>
    <r>
      <rPr>
        <sz val="10"/>
        <color rgb="FF333333"/>
        <rFont val="微软雅黑"/>
        <family val="0"/>
        <charset val="1"/>
      </rPr>
      <t xml:space="preserve">p10</t>
    </r>
    <r>
      <rPr>
        <sz val="10"/>
        <color rgb="FF333333"/>
        <rFont val="Noto Sans CJK SC"/>
        <family val="2"/>
      </rPr>
      <t xml:space="preserve">；早版</t>
    </r>
    <r>
      <rPr>
        <sz val="10"/>
        <color rgb="FF333333"/>
        <rFont val="微软雅黑"/>
        <family val="0"/>
        <charset val="1"/>
      </rPr>
      <t xml:space="preserve">p9—10</t>
    </r>
  </si>
  <si>
    <r>
      <rPr>
        <sz val="10"/>
        <color rgb="FF333333"/>
        <rFont val="Noto Sans CJK SC"/>
        <family val="2"/>
      </rPr>
      <t xml:space="preserve">原表</t>
    </r>
    <r>
      <rPr>
        <sz val="10"/>
        <color rgb="FF333333"/>
        <rFont val="微软雅黑"/>
        <family val="0"/>
        <charset val="1"/>
      </rPr>
      <t xml:space="preserve">71683.55</t>
    </r>
    <r>
      <rPr>
        <sz val="10"/>
        <color rgb="FF333333"/>
        <rFont val="Noto Sans CJK SC"/>
        <family val="2"/>
      </rPr>
      <t xml:space="preserve">实为净收益</t>
    </r>
    <r>
      <rPr>
        <sz val="10"/>
        <color rgb="FF333333"/>
        <rFont val="微软雅黑"/>
        <family val="0"/>
        <charset val="1"/>
      </rPr>
      <t xml:space="preserve">×95%</t>
    </r>
    <r>
      <rPr>
        <sz val="10"/>
        <color rgb="FF333333"/>
        <rFont val="Noto Sans CJK SC"/>
        <family val="2"/>
      </rPr>
      <t xml:space="preserve">，不是收入</t>
    </r>
    <r>
      <rPr>
        <sz val="10"/>
        <color rgb="FF333333"/>
        <rFont val="微软雅黑"/>
        <family val="0"/>
        <charset val="1"/>
      </rPr>
      <t xml:space="preserve">×95%</t>
    </r>
    <r>
      <rPr>
        <sz val="10"/>
        <color rgb="FF333333"/>
        <rFont val="Noto Sans CJK SC"/>
        <family val="2"/>
      </rPr>
      <t xml:space="preserve">再扣费</t>
    </r>
  </si>
  <si>
    <r>
      <rPr>
        <sz val="10"/>
        <color rgb="FF333333"/>
        <rFont val="Noto Sans CJK SC"/>
        <family val="2"/>
      </rPr>
      <t xml:space="preserve">正文</t>
    </r>
    <r>
      <rPr>
        <sz val="10"/>
        <color rgb="FF333333"/>
        <rFont val="微软雅黑"/>
        <family val="0"/>
        <charset val="1"/>
      </rPr>
      <t xml:space="preserve">5%</t>
    </r>
    <r>
      <rPr>
        <sz val="10"/>
        <color rgb="FF333333"/>
        <rFont val="Noto Sans CJK SC"/>
        <family val="2"/>
      </rPr>
      <t xml:space="preserve">管理费联动压力覆盖晚版</t>
    </r>
    <r>
      <rPr>
        <sz val="10"/>
        <color rgb="FF333333"/>
        <rFont val="微软雅黑"/>
        <family val="0"/>
        <charset val="1"/>
      </rPr>
      <t xml:space="preserve">1.1554</t>
    </r>
  </si>
  <si>
    <r>
      <rPr>
        <sz val="10"/>
        <color rgb="FF333333"/>
        <rFont val="Noto Sans CJK SC"/>
        <family val="2"/>
      </rPr>
      <t xml:space="preserve">收入</t>
    </r>
    <r>
      <rPr>
        <sz val="10"/>
        <color rgb="FF333333"/>
        <rFont val="微软雅黑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收益术语及压力口径补正</t>
    </r>
  </si>
  <si>
    <t xml:space="preserve">年度资金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</si>
  <si>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p8—9</t>
    </r>
  </si>
  <si>
    <t xml:space="preserve">原表全周期覆盖为正但早期运营不足、到期集中偿本</t>
  </si>
  <si>
    <r>
      <rPr>
        <sz val="10"/>
        <color rgb="FF333333"/>
        <rFont val="Noto Sans CJK SC"/>
        <family val="2"/>
      </rPr>
      <t xml:space="preserve">晚版原表最大累计缺口</t>
    </r>
    <r>
      <rPr>
        <sz val="10"/>
        <color rgb="FF333333"/>
        <rFont val="微软雅黑"/>
        <family val="0"/>
        <charset val="1"/>
      </rPr>
      <t xml:space="preserve">6617.21</t>
    </r>
    <r>
      <rPr>
        <sz val="10"/>
        <color rgb="FF333333"/>
        <rFont val="Noto Sans CJK SC"/>
        <family val="2"/>
      </rPr>
      <t xml:space="preserve">；主调整压力</t>
    </r>
    <r>
      <rPr>
        <sz val="10"/>
        <color rgb="FF333333"/>
        <rFont val="微软雅黑"/>
        <family val="0"/>
        <charset val="1"/>
      </rPr>
      <t xml:space="preserve">11169.23</t>
    </r>
  </si>
  <si>
    <t xml:space="preserve">提供逐年外部资金来源、到位时点及留存机制</t>
  </si>
  <si>
    <t xml:space="preserve">日历年</t>
  </si>
  <si>
    <r>
      <rPr>
        <sz val="10"/>
        <color rgb="FF333333"/>
        <rFont val="Noto Sans CJK SC"/>
        <family val="2"/>
      </rPr>
      <t xml:space="preserve">报告</t>
    </r>
    <r>
      <rPr>
        <sz val="10"/>
        <color rgb="FF333333"/>
        <rFont val="微软雅黑"/>
        <family val="0"/>
        <charset val="1"/>
      </rPr>
      <t xml:space="preserve">p3—4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软雅黑"/>
        <family val="0"/>
        <charset val="1"/>
      </rPr>
      <t xml:space="preserve">8</t>
    </r>
  </si>
  <si>
    <r>
      <rPr>
        <sz val="10"/>
        <color rgb="FF333333"/>
        <rFont val="Noto Sans CJK SC"/>
        <family val="2"/>
      </rPr>
      <t xml:space="preserve">第一年</t>
    </r>
    <r>
      <rPr>
        <sz val="10"/>
        <color rgb="FF333333"/>
        <rFont val="微软雅黑"/>
        <family val="0"/>
        <charset val="1"/>
      </rPr>
      <t xml:space="preserve">2024</t>
    </r>
    <r>
      <rPr>
        <sz val="10"/>
        <color rgb="FF333333"/>
        <rFont val="Noto Sans CJK SC"/>
        <family val="2"/>
      </rPr>
      <t xml:space="preserve">、第十八年</t>
    </r>
    <r>
      <rPr>
        <sz val="10"/>
        <color rgb="FF333333"/>
        <rFont val="微软雅黑"/>
        <family val="0"/>
        <charset val="1"/>
      </rPr>
      <t xml:space="preserve">2041</t>
    </r>
    <r>
      <rPr>
        <sz val="10"/>
        <color rgb="FF333333"/>
        <rFont val="Noto Sans CJK SC"/>
        <family val="2"/>
      </rPr>
      <t xml:space="preserve">，但</t>
    </r>
    <r>
      <rPr>
        <sz val="10"/>
        <color rgb="FF333333"/>
        <rFont val="微软雅黑"/>
        <family val="0"/>
        <charset val="1"/>
      </rPr>
      <t xml:space="preserve">2022+20=2042</t>
    </r>
    <r>
      <rPr>
        <sz val="10"/>
        <color rgb="FF333333"/>
        <rFont val="Noto Sans CJK SC"/>
        <family val="2"/>
      </rPr>
      <t xml:space="preserve">等晚一年</t>
    </r>
  </si>
  <si>
    <r>
      <rPr>
        <sz val="10"/>
        <color rgb="FF333333"/>
        <rFont val="Noto Sans CJK SC"/>
        <family val="2"/>
      </rPr>
      <t xml:space="preserve">报告年表不能替代真实兑付日历；未知</t>
    </r>
    <r>
      <rPr>
        <sz val="10"/>
        <color rgb="FF333333"/>
        <rFont val="微软雅黑"/>
        <family val="0"/>
        <charset val="1"/>
      </rPr>
      <t xml:space="preserve">2042</t>
    </r>
    <r>
      <rPr>
        <sz val="10"/>
        <color rgb="FF333333"/>
        <rFont val="Noto Sans CJK SC"/>
        <family val="2"/>
      </rPr>
      <t xml:space="preserve">收益不补造</t>
    </r>
  </si>
  <si>
    <t xml:space="preserve">核对起息兑付日及会计计提与现金支付差异</t>
  </si>
  <si>
    <t xml:space="preserve">证据边界</t>
  </si>
  <si>
    <r>
      <rPr>
        <sz val="10"/>
        <color rgb="FF333333"/>
        <rFont val="Noto Sans CJK SC"/>
        <family val="2"/>
      </rPr>
      <t xml:space="preserve">三报告</t>
    </r>
    <r>
      <rPr>
        <sz val="10"/>
        <color rgb="FF333333"/>
        <rFont val="微软雅黑"/>
        <family val="0"/>
        <charset val="1"/>
      </rPr>
      <t xml:space="preserve">p12—13</t>
    </r>
  </si>
  <si>
    <t xml:space="preserve">预测鉴证非实际经营审计；实际结果可不同</t>
  </si>
  <si>
    <t xml:space="preserve">不据测算缺口认定实际违约</t>
  </si>
  <si>
    <t xml:space="preserve">要求补正测算与安排说明，非直接作真实偿付断言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</si>
</sst>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–"/>
    <numFmt numFmtId="166" formatCode="0.0000"/>
    <numFmt numFmtId="167" formatCode="0"/>
    <numFmt numFmtId="168" formatCode="0.0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color rgb="FF333333"/>
      <name val="Noto Sans CJK SC"/>
      <family val="2"/>
    </font>
    <font>
      <sz val="10"/>
      <color rgb="FF333333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sz val="10"/>
      <color rgb="FF000000"/>
      <name val="微软雅黑"/>
      <family val="0"/>
      <charset val="1"/>
    </font>
    <font>
      <sz val="10"/>
      <color rgb="FF1769AA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46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4465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33333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1769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769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46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60" hidden="false" customHeight="true" outlineLevel="0" collapsed="false">
      <c r="A2" s="2" t="s">
        <v>2</v>
      </c>
      <c r="B2" s="2" t="s">
        <v>3</v>
      </c>
    </row>
    <row r="3" customFormat="false" ht="60" hidden="false" customHeight="true" outlineLevel="0" collapsed="false">
      <c r="A3" s="2" t="s">
        <v>4</v>
      </c>
      <c r="B3" s="2" t="s">
        <v>5</v>
      </c>
    </row>
    <row r="4" customFormat="false" ht="60" hidden="false" customHeight="true" outlineLevel="0" collapsed="false">
      <c r="A4" s="2" t="s">
        <v>6</v>
      </c>
      <c r="B4" s="2" t="s">
        <v>7</v>
      </c>
    </row>
    <row r="5" customFormat="false" ht="60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3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18</v>
      </c>
      <c r="B10" s="2" t="s">
        <v>19</v>
      </c>
    </row>
    <row r="11" customFormat="false" ht="60" hidden="false" customHeight="true" outlineLevel="0" collapsed="false">
      <c r="A11" s="2" t="s">
        <v>20</v>
      </c>
      <c r="B11" s="2" t="s">
        <v>21</v>
      </c>
    </row>
    <row r="12" customFormat="false" ht="60" hidden="false" customHeight="true" outlineLevel="0" collapsed="false">
      <c r="A12" s="2" t="s">
        <v>22</v>
      </c>
      <c r="B12" s="3" t="s">
        <v>23</v>
      </c>
    </row>
    <row r="13" customFormat="false" ht="60" hidden="false" customHeight="true" outlineLevel="0" collapsed="false">
      <c r="A13" s="2" t="s">
        <v>24</v>
      </c>
      <c r="B13" s="2" t="s">
        <v>25</v>
      </c>
    </row>
  </sheetData>
  <autoFilter ref="A1:B13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31.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customFormat="false" ht="15" hidden="false" customHeight="false" outlineLevel="0" collapsed="false">
      <c r="A2" s="2" t="s">
        <v>38</v>
      </c>
      <c r="B2" s="2" t="s">
        <v>39</v>
      </c>
      <c r="C2" s="4" t="n">
        <f aca="false">SUM(情景年表!E2:E20)</f>
        <v>205183.59</v>
      </c>
      <c r="D2" s="4" t="n">
        <f aca="false">SUM(情景年表!J2:J20)</f>
        <v>75456.37</v>
      </c>
      <c r="E2" s="4" t="n">
        <f aca="false">SUM(情景年表!M2:M20)</f>
        <v>49703</v>
      </c>
      <c r="F2" s="5" t="n">
        <f aca="false">D2/E2</f>
        <v>1.51814518238336</v>
      </c>
      <c r="G2" s="4" t="n">
        <f aca="false">MIN(情景年表!N2:N20)</f>
        <v>-13285.04</v>
      </c>
      <c r="H2" s="4" t="n">
        <f aca="false">MAX(0,-MIN(情景年表!O2:O20))</f>
        <v>16145.31</v>
      </c>
      <c r="I2" s="6" t="n">
        <f aca="false">INDEX(情景年表!D2:D20,MATCH(MIN(情景年表!O2:O20),情景年表!O2:O20,0))</f>
        <v>2028</v>
      </c>
      <c r="J2" s="4" t="n">
        <f aca="false">情景年表!O20</f>
        <v>25753.37</v>
      </c>
      <c r="K2" s="7" t="str">
        <f aca="false">IF(情景参数!E2="联动",(D2-1.2*E2)/((1-情景参数!C2)*C2),"不适用")</f>
        <v>不适用</v>
      </c>
      <c r="L2" s="7" t="str">
        <f aca="false">IF(情景参数!E2="联动",(D2-E2)/((1-情景参数!C2)*C2),"不适用")</f>
        <v>不适用</v>
      </c>
    </row>
    <row r="3" customFormat="false" ht="15" hidden="false" customHeight="false" outlineLevel="0" collapsed="false">
      <c r="A3" s="2" t="s">
        <v>38</v>
      </c>
      <c r="B3" s="2" t="s">
        <v>40</v>
      </c>
      <c r="C3" s="4" t="n">
        <f aca="false">SUM(情景年表!E21:E39)</f>
        <v>205183.59</v>
      </c>
      <c r="D3" s="4" t="n">
        <f aca="false">SUM(情景年表!J21:J39)</f>
        <v>75456.37</v>
      </c>
      <c r="E3" s="4" t="n">
        <f aca="false">SUM(情景年表!M21:M39)</f>
        <v>51502.9</v>
      </c>
      <c r="F3" s="5" t="n">
        <f aca="false">D3/E3</f>
        <v>1.46508973281116</v>
      </c>
      <c r="G3" s="4" t="n">
        <f aca="false">MIN(情景年表!N21:N39)</f>
        <v>-13285.04</v>
      </c>
      <c r="H3" s="4" t="n">
        <f aca="false">MAX(0,-MIN(情景年表!O21:O39))</f>
        <v>6617.21</v>
      </c>
      <c r="I3" s="6" t="n">
        <f aca="false">INDEX(情景年表!D21:D39,MATCH(MIN(情景年表!O21:O39),情景年表!O21:O39,0))</f>
        <v>2028</v>
      </c>
      <c r="J3" s="4" t="n">
        <f aca="false">情景年表!O39</f>
        <v>23953.47</v>
      </c>
      <c r="K3" s="7" t="str">
        <f aca="false">IF(情景参数!E2="联动",(D3-1.2*E3)/((1-情景参数!C2)*C3),"不适用")</f>
        <v>不适用</v>
      </c>
      <c r="L3" s="7" t="str">
        <f aca="false">IF(情景参数!E2="联动",(D3-E3)/((1-情景参数!C2)*C3),"不适用")</f>
        <v>不适用</v>
      </c>
    </row>
    <row r="4" customFormat="false" ht="15" hidden="false" customHeight="false" outlineLevel="0" collapsed="false">
      <c r="A4" s="2" t="s">
        <v>41</v>
      </c>
      <c r="B4" s="2" t="s">
        <v>39</v>
      </c>
      <c r="C4" s="4" t="n">
        <f aca="false">SUM(情景年表!E40:E58)</f>
        <v>205183.59</v>
      </c>
      <c r="D4" s="4" t="n">
        <f aca="false">SUM(情景年表!J40:J58)</f>
        <v>75410.0039896885</v>
      </c>
      <c r="E4" s="4" t="n">
        <f aca="false">SUM(情景年表!M40:M58)</f>
        <v>49703</v>
      </c>
      <c r="F4" s="5" t="n">
        <f aca="false">D4/E4</f>
        <v>1.51721232098039</v>
      </c>
      <c r="G4" s="4" t="n">
        <f aca="false">MIN(情景年表!N40:N58)</f>
        <v>-13294.6814624363</v>
      </c>
      <c r="H4" s="4" t="n">
        <f aca="false">MAX(0,-MIN(情景年表!O40:O58))</f>
        <v>16145.3116</v>
      </c>
      <c r="I4" s="6" t="n">
        <f aca="false">INDEX(情景年表!D40:D58,MATCH(MIN(情景年表!O40:O58),情景年表!O40:O58,0))</f>
        <v>2028</v>
      </c>
      <c r="J4" s="4" t="n">
        <f aca="false">情景年表!O58</f>
        <v>25707.0039896885</v>
      </c>
      <c r="K4" s="7" t="n">
        <f aca="false">IF(情景参数!E3="联动",(D4-1.2*E4)/((1-情景参数!C3)*C4),"不适用")</f>
        <v>0.0784086453327817</v>
      </c>
      <c r="L4" s="7" t="n">
        <f aca="false">IF(情景参数!E3="联动",(D4-E4)/((1-情景参数!C3)*C4),"不适用")</f>
        <v>0.127844710798617</v>
      </c>
    </row>
    <row r="5" customFormat="false" ht="15" hidden="false" customHeight="false" outlineLevel="0" collapsed="false">
      <c r="A5" s="2" t="s">
        <v>41</v>
      </c>
      <c r="B5" s="2" t="s">
        <v>40</v>
      </c>
      <c r="C5" s="4" t="n">
        <f aca="false">SUM(情景年表!E59:E77)</f>
        <v>205183.59</v>
      </c>
      <c r="D5" s="4" t="n">
        <f aca="false">SUM(情景年表!J59:J77)</f>
        <v>75410.0039896885</v>
      </c>
      <c r="E5" s="4" t="n">
        <f aca="false">SUM(情景年表!M59:M77)</f>
        <v>51502.9</v>
      </c>
      <c r="F5" s="5" t="n">
        <f aca="false">D5/E5</f>
        <v>1.46418947262559</v>
      </c>
      <c r="G5" s="4" t="n">
        <f aca="false">MIN(情景年表!N59:N77)</f>
        <v>-13294.6814624363</v>
      </c>
      <c r="H5" s="4" t="n">
        <f aca="false">MAX(0,-MIN(情景年表!O59:O77))</f>
        <v>6617.2116</v>
      </c>
      <c r="I5" s="6" t="n">
        <f aca="false">INDEX(情景年表!D59:D77,MATCH(MIN(情景年表!O59:O77),情景年表!O59:O77,0))</f>
        <v>2028</v>
      </c>
      <c r="J5" s="4" t="n">
        <f aca="false">情景年表!O77</f>
        <v>23907.1039896885</v>
      </c>
      <c r="K5" s="7" t="n">
        <f aca="false">IF(情景参数!E3="联动",(D5-1.2*E5)/((1-情景参数!C3)*C5),"不适用")</f>
        <v>0.067667244504024</v>
      </c>
      <c r="L5" s="7" t="n">
        <f aca="false">IF(情景参数!E3="联动",(D5-E5)/((1-情景参数!C3)*C5),"不适用")</f>
        <v>0.118893543441319</v>
      </c>
    </row>
    <row r="6" customFormat="false" ht="15" hidden="false" customHeight="false" outlineLevel="0" collapsed="false">
      <c r="A6" s="2" t="s">
        <v>42</v>
      </c>
      <c r="B6" s="2" t="s">
        <v>39</v>
      </c>
      <c r="C6" s="4" t="n">
        <f aca="false">SUM(情景年表!E78:E96)</f>
        <v>205183.59</v>
      </c>
      <c r="D6" s="4" t="n">
        <f aca="false">SUM(情景年表!J78:J96)</f>
        <v>69254.4962896885</v>
      </c>
      <c r="E6" s="4" t="n">
        <f aca="false">SUM(情景年表!M78:M96)</f>
        <v>49703</v>
      </c>
      <c r="F6" s="5" t="n">
        <f aca="false">D6/E6</f>
        <v>1.39336652294003</v>
      </c>
      <c r="G6" s="4" t="n">
        <f aca="false">MIN(情景年表!N78:N96)</f>
        <v>-13850.3054624363</v>
      </c>
      <c r="H6" s="4" t="n">
        <f aca="false">MAX(0,-MIN(情景年表!O78:O96))</f>
        <v>16422.349</v>
      </c>
      <c r="I6" s="6" t="n">
        <f aca="false">INDEX(情景年表!D78:D96,MATCH(MIN(情景年表!O78:O96),情景年表!O78:O96,0))</f>
        <v>2028</v>
      </c>
      <c r="J6" s="4" t="n">
        <f aca="false">情景年表!O96</f>
        <v>19551.4962896885</v>
      </c>
      <c r="K6" s="7" t="n">
        <f aca="false">IF(情景参数!E4="联动",(D6-1.2*E6)/((1-情景参数!C4)*C6),"不适用")</f>
        <v>0.0493057604485537</v>
      </c>
      <c r="L6" s="7" t="n">
        <f aca="false">IF(情景参数!E4="联动",(D6-E6)/((1-情景参数!C4)*C6),"不适用")</f>
        <v>0.100302964823836</v>
      </c>
    </row>
    <row r="7" customFormat="false" ht="15" hidden="false" customHeight="false" outlineLevel="0" collapsed="false">
      <c r="A7" s="2" t="s">
        <v>42</v>
      </c>
      <c r="B7" s="2" t="s">
        <v>40</v>
      </c>
      <c r="C7" s="4" t="n">
        <f aca="false">SUM(情景年表!E97:E115)</f>
        <v>205183.59</v>
      </c>
      <c r="D7" s="4" t="n">
        <f aca="false">SUM(情景年表!J97:J115)</f>
        <v>69254.4962896885</v>
      </c>
      <c r="E7" s="4" t="n">
        <f aca="false">SUM(情景年表!M97:M115)</f>
        <v>51502.9</v>
      </c>
      <c r="F7" s="5" t="n">
        <f aca="false">D7/E7</f>
        <v>1.34467178138879</v>
      </c>
      <c r="G7" s="4" t="n">
        <f aca="false">MIN(情景年表!N97:N115)</f>
        <v>-13850.3054624363</v>
      </c>
      <c r="H7" s="4" t="n">
        <f aca="false">MAX(0,-MIN(情景年表!O97:O115))</f>
        <v>6894.249</v>
      </c>
      <c r="I7" s="6" t="n">
        <f aca="false">INDEX(情景年表!D97:D115,MATCH(MIN(情景年表!O97:O115),情景年表!O97:O115,0))</f>
        <v>2028</v>
      </c>
      <c r="J7" s="4" t="n">
        <f aca="false">情景年表!O115</f>
        <v>17751.5962896885</v>
      </c>
      <c r="K7" s="7" t="n">
        <f aca="false">IF(情景参数!E4="联动",(D7-1.2*E7)/((1-情景参数!C4)*C7),"不适用")</f>
        <v>0.0382251574883616</v>
      </c>
      <c r="L7" s="7" t="n">
        <f aca="false">IF(情景参数!E4="联动",(D7-E7)/((1-情景参数!C4)*C7),"不适用")</f>
        <v>0.0910691290236763</v>
      </c>
    </row>
    <row r="8" customFormat="false" ht="15" hidden="false" customHeight="false" outlineLevel="0" collapsed="false">
      <c r="A8" s="2" t="s">
        <v>43</v>
      </c>
      <c r="B8" s="2" t="s">
        <v>39</v>
      </c>
      <c r="C8" s="4" t="n">
        <f aca="false">SUM(情景年表!E116:E134)</f>
        <v>199365.807077035</v>
      </c>
      <c r="D8" s="4" t="n">
        <f aca="false">SUM(情景年表!J116:J134)</f>
        <v>69708.5767251828</v>
      </c>
      <c r="E8" s="4" t="n">
        <f aca="false">SUM(情景年表!M116:M134)</f>
        <v>49703</v>
      </c>
      <c r="F8" s="5" t="n">
        <f aca="false">D8/E8</f>
        <v>1.40250239875224</v>
      </c>
      <c r="G8" s="4" t="n">
        <f aca="false">MIN(情景年表!N116:N134)</f>
        <v>-14005.0756241863</v>
      </c>
      <c r="H8" s="4" t="n">
        <f aca="false">MAX(0,-MIN(情景年表!O116:O134))</f>
        <v>16299.838</v>
      </c>
      <c r="I8" s="6" t="n">
        <f aca="false">INDEX(情景年表!D116:D134,MATCH(MIN(情景年表!O116:O134),情景年表!O116:O134,0))</f>
        <v>2028</v>
      </c>
      <c r="J8" s="4" t="n">
        <f aca="false">情景年表!O134</f>
        <v>20005.5767251828</v>
      </c>
      <c r="K8" s="7" t="n">
        <f aca="false">IF(情景参数!E5="联动",(D8-1.2*E8)/((1-情景参数!C5)*C8),"不适用")</f>
        <v>0.0515152751819843</v>
      </c>
      <c r="L8" s="7" t="n">
        <f aca="false">IF(情景参数!E5="联动",(D8-E8)/((1-情景参数!C5)*C8),"不适用")</f>
        <v>0.102393956619246</v>
      </c>
    </row>
    <row r="9" customFormat="false" ht="15" hidden="false" customHeight="false" outlineLevel="0" collapsed="false">
      <c r="A9" s="2" t="s">
        <v>43</v>
      </c>
      <c r="B9" s="2" t="s">
        <v>40</v>
      </c>
      <c r="C9" s="4" t="n">
        <f aca="false">SUM(情景年表!E135:E153)</f>
        <v>199365.807077035</v>
      </c>
      <c r="D9" s="4" t="n">
        <f aca="false">SUM(情景年表!J135:J153)</f>
        <v>69708.5767251828</v>
      </c>
      <c r="E9" s="4" t="n">
        <f aca="false">SUM(情景年表!M135:M153)</f>
        <v>51502.9</v>
      </c>
      <c r="F9" s="5" t="n">
        <f aca="false">D9/E9</f>
        <v>1.35348838075492</v>
      </c>
      <c r="G9" s="4" t="n">
        <f aca="false">MIN(情景年表!N135:N153)</f>
        <v>-14005.0756241863</v>
      </c>
      <c r="H9" s="4" t="n">
        <f aca="false">MAX(0,-MIN(情景年表!O135:O153))</f>
        <v>6771.738</v>
      </c>
      <c r="I9" s="6" t="n">
        <f aca="false">INDEX(情景年表!D135:D153,MATCH(MIN(情景年表!O135:O153),情景年表!O135:O153,0))</f>
        <v>2028</v>
      </c>
      <c r="J9" s="4" t="n">
        <f aca="false">情景年表!O153</f>
        <v>18205.6767251828</v>
      </c>
      <c r="K9" s="7" t="n">
        <f aca="false">IF(情景参数!E5="联动",(D9-1.2*E9)/((1-情景参数!C5)*C9),"不适用")</f>
        <v>0.0404604247239925</v>
      </c>
      <c r="L9" s="7" t="n">
        <f aca="false">IF(情景参数!E5="联动",(D9-E9)/((1-情景参数!C5)*C9),"不适用")</f>
        <v>0.0931815812375865</v>
      </c>
    </row>
    <row r="10" customFormat="false" ht="15" hidden="false" customHeight="false" outlineLevel="0" collapsed="false">
      <c r="A10" s="2" t="s">
        <v>44</v>
      </c>
      <c r="B10" s="2" t="s">
        <v>39</v>
      </c>
      <c r="C10" s="4" t="n">
        <f aca="false">SUM(情景年表!E154:E172)</f>
        <v>199365.807077035</v>
      </c>
      <c r="D10" s="4" t="n">
        <f aca="false">SUM(情景年表!J154:J172)</f>
        <v>63727.6025128718</v>
      </c>
      <c r="E10" s="4" t="n">
        <f aca="false">SUM(情景年表!M154:M172)</f>
        <v>49703</v>
      </c>
      <c r="F10" s="5" t="n">
        <f aca="false">D10/E10</f>
        <v>1.28216812894336</v>
      </c>
      <c r="G10" s="4" t="n">
        <f aca="false">MIN(情景年表!N154:N172)</f>
        <v>-14538.9528641327</v>
      </c>
      <c r="H10" s="4" t="n">
        <f aca="false">MAX(0,-MIN(情景年表!O154:O172))</f>
        <v>16572.145</v>
      </c>
      <c r="I10" s="6" t="n">
        <f aca="false">INDEX(情景年表!D154:D172,MATCH(MIN(情景年表!O154:O172),情景年表!O154:O172,0))</f>
        <v>2028</v>
      </c>
      <c r="J10" s="4" t="n">
        <f aca="false">情景年表!O172</f>
        <v>14024.6025128718</v>
      </c>
      <c r="K10" s="7" t="n">
        <f aca="false">IF(情景参数!E6="联动",(D10-1.2*E10)/((1-情景参数!C6)*C10),"不适用")</f>
        <v>0.0215631259772048</v>
      </c>
      <c r="L10" s="7" t="n">
        <f aca="false">IF(情景参数!E6="联动",(D10-E10)/((1-情景参数!C6)*C10),"不适用")</f>
        <v>0.0740485026177488</v>
      </c>
    </row>
    <row r="11" customFormat="false" ht="15" hidden="false" customHeight="false" outlineLevel="0" collapsed="false">
      <c r="A11" s="2" t="s">
        <v>44</v>
      </c>
      <c r="B11" s="2" t="s">
        <v>40</v>
      </c>
      <c r="C11" s="4" t="n">
        <f aca="false">SUM(情景年表!E173:E191)</f>
        <v>199365.807077035</v>
      </c>
      <c r="D11" s="4" t="n">
        <f aca="false">SUM(情景年表!J173:J191)</f>
        <v>63727.6025128718</v>
      </c>
      <c r="E11" s="4" t="n">
        <f aca="false">SUM(情景年表!M173:M191)</f>
        <v>51502.9</v>
      </c>
      <c r="F11" s="5" t="n">
        <f aca="false">D11/E11</f>
        <v>1.23735949845294</v>
      </c>
      <c r="G11" s="4" t="n">
        <f aca="false">MIN(情景年表!N173:N191)</f>
        <v>-14538.9528641327</v>
      </c>
      <c r="H11" s="4" t="n">
        <f aca="false">MAX(0,-MIN(情景年表!O173:O191))</f>
        <v>7695.85403652649</v>
      </c>
      <c r="I11" s="6" t="n">
        <f aca="false">INDEX(情景年表!D173:D191,MATCH(MIN(情景年表!O173:O191),情景年表!O173:O191,0))</f>
        <v>2033</v>
      </c>
      <c r="J11" s="4" t="n">
        <f aca="false">情景年表!O191</f>
        <v>12224.7025128718</v>
      </c>
      <c r="K11" s="7" t="n">
        <f aca="false">IF(情景参数!E6="联动",(D11-1.2*E11)/((1-情景参数!C6)*C11),"不适用")</f>
        <v>0.0101591749784343</v>
      </c>
      <c r="L11" s="7" t="n">
        <f aca="false">IF(情景参数!E6="联动",(D11-E11)/((1-情景参数!C6)*C11),"不适用")</f>
        <v>0.0645452101187734</v>
      </c>
    </row>
    <row r="12" customFormat="false" ht="15" hidden="false" customHeight="false" outlineLevel="0" collapsed="false">
      <c r="A12" s="2" t="s">
        <v>45</v>
      </c>
      <c r="B12" s="2" t="s">
        <v>39</v>
      </c>
      <c r="C12" s="4" t="n">
        <f aca="false">SUM(情景年表!E192:E210)</f>
        <v>198899.417477035</v>
      </c>
      <c r="D12" s="4" t="n">
        <f aca="false">SUM(情景年表!J192:J210)</f>
        <v>69251.5149171828</v>
      </c>
      <c r="E12" s="4" t="n">
        <f aca="false">SUM(情景年表!M192:M210)</f>
        <v>49703</v>
      </c>
      <c r="F12" s="5" t="n">
        <f aca="false">D12/E12</f>
        <v>1.39330653918642</v>
      </c>
      <c r="G12" s="4" t="n">
        <f aca="false">MIN(情景年表!N192:N210)</f>
        <v>-14033.9742561863</v>
      </c>
      <c r="H12" s="4" t="n">
        <f aca="false">MAX(0,-MIN(情景年表!O192:O210))</f>
        <v>16299.833296</v>
      </c>
      <c r="I12" s="6" t="n">
        <f aca="false">INDEX(情景年表!D192:D210,MATCH(MIN(情景年表!O192:O210),情景年表!O192:O210,0))</f>
        <v>2028</v>
      </c>
      <c r="J12" s="4" t="n">
        <f aca="false">情景年表!O210</f>
        <v>19548.5149171828</v>
      </c>
      <c r="K12" s="7" t="n">
        <f aca="false">IF(情景参数!E7="联动",(D12-1.2*E12)/((1-情景参数!C7)*C12),"不适用")</f>
        <v>0.0492912193399653</v>
      </c>
      <c r="L12" s="7" t="n">
        <f aca="false">IF(情景参数!E7="联动",(D12-E12)/((1-情景参数!C7)*C12),"不适用")</f>
        <v>0.100289203730373</v>
      </c>
    </row>
    <row r="13" customFormat="false" ht="15" hidden="false" customHeight="false" outlineLevel="0" collapsed="false">
      <c r="A13" s="2" t="s">
        <v>45</v>
      </c>
      <c r="B13" s="2" t="s">
        <v>40</v>
      </c>
      <c r="C13" s="4" t="n">
        <f aca="false">SUM(情景年表!E211:E229)</f>
        <v>198899.417477035</v>
      </c>
      <c r="D13" s="4" t="n">
        <f aca="false">SUM(情景年表!J211:J229)</f>
        <v>69251.5149171828</v>
      </c>
      <c r="E13" s="4" t="n">
        <f aca="false">SUM(情景年表!M211:M229)</f>
        <v>51502.9</v>
      </c>
      <c r="F13" s="5" t="n">
        <f aca="false">D13/E13</f>
        <v>1.3446138939202</v>
      </c>
      <c r="G13" s="4" t="n">
        <f aca="false">MIN(情景年表!N211:N229)</f>
        <v>-14033.9742561863</v>
      </c>
      <c r="H13" s="4" t="n">
        <f aca="false">MAX(0,-MIN(情景年表!O211:O229))</f>
        <v>6771.733296</v>
      </c>
      <c r="I13" s="6" t="n">
        <f aca="false">INDEX(情景年表!D211:D229,MATCH(MIN(情景年表!O211:O229),情景年表!O211:O229,0))</f>
        <v>2028</v>
      </c>
      <c r="J13" s="4" t="n">
        <f aca="false">情景年表!O229</f>
        <v>17748.6149171828</v>
      </c>
      <c r="K13" s="7" t="n">
        <f aca="false">IF(情景参数!E7="联动",(D13-1.2*E13)/((1-情景参数!C7)*C13),"不适用")</f>
        <v>0.0382104468991514</v>
      </c>
      <c r="L13" s="7" t="n">
        <f aca="false">IF(情景参数!E7="联动",(D13-E13)/((1-情景参数!C7)*C13),"不适用")</f>
        <v>0.0910552266963618</v>
      </c>
    </row>
    <row r="14" customFormat="false" ht="15" hidden="false" customHeight="false" outlineLevel="0" collapsed="false">
      <c r="A14" s="2" t="s">
        <v>46</v>
      </c>
      <c r="B14" s="2" t="s">
        <v>39</v>
      </c>
      <c r="C14" s="4" t="n">
        <f aca="false">SUM(情景年表!E230:E248)</f>
        <v>198899.417477035</v>
      </c>
      <c r="D14" s="4" t="n">
        <f aca="false">SUM(情景年表!J230:J248)</f>
        <v>63284.5323928718</v>
      </c>
      <c r="E14" s="4" t="n">
        <f aca="false">SUM(情景年表!M230:M248)</f>
        <v>49703</v>
      </c>
      <c r="F14" s="5" t="n">
        <f aca="false">D14/E14</f>
        <v>1.27325377528261</v>
      </c>
      <c r="G14" s="4" t="n">
        <f aca="false">MIN(情景年表!N230:N248)</f>
        <v>-14566.9668441327</v>
      </c>
      <c r="H14" s="4" t="n">
        <f aca="false">MAX(0,-MIN(情景年表!O230:O248))</f>
        <v>16572.14044</v>
      </c>
      <c r="I14" s="6" t="n">
        <f aca="false">INDEX(情景年表!D230:D248,MATCH(MIN(情景年表!O230:O248),情景年表!O230:O248,0))</f>
        <v>2028</v>
      </c>
      <c r="J14" s="4" t="n">
        <f aca="false">情景年表!O248</f>
        <v>13581.5323928718</v>
      </c>
      <c r="K14" s="7" t="n">
        <f aca="false">IF(情景参数!E8="联动",(D14-1.2*E14)/((1-情景参数!C8)*C14),"不适用")</f>
        <v>0.0192688367928063</v>
      </c>
      <c r="L14" s="7" t="n">
        <f aca="false">IF(情景参数!E8="联动",(D14-E14)/((1-情景参数!C8)*C14),"不适用")</f>
        <v>0.0718772838481747</v>
      </c>
    </row>
    <row r="15" customFormat="false" ht="15" hidden="false" customHeight="false" outlineLevel="0" collapsed="false">
      <c r="A15" s="2" t="s">
        <v>46</v>
      </c>
      <c r="B15" s="2" t="s">
        <v>40</v>
      </c>
      <c r="C15" s="4" t="n">
        <f aca="false">SUM(情景年表!E249:E267)</f>
        <v>198899.417477035</v>
      </c>
      <c r="D15" s="4" t="n">
        <f aca="false">SUM(情景年表!J249:J267)</f>
        <v>63284.5323928718</v>
      </c>
      <c r="E15" s="4" t="n">
        <f aca="false">SUM(情景年表!M249:M267)</f>
        <v>51502.9</v>
      </c>
      <c r="F15" s="5" t="n">
        <f aca="false">D15/E15</f>
        <v>1.22875667958254</v>
      </c>
      <c r="G15" s="4" t="n">
        <f aca="false">MIN(情景年表!N249:N267)</f>
        <v>-14566.9668441327</v>
      </c>
      <c r="H15" s="4" t="n">
        <f aca="false">MAX(0,-MIN(情景年表!O249:O267))</f>
        <v>7925.01303652649</v>
      </c>
      <c r="I15" s="6" t="n">
        <f aca="false">INDEX(情景年表!D249:D267,MATCH(MIN(情景年表!O249:O267),情景年表!O249:O267,0))</f>
        <v>2033</v>
      </c>
      <c r="J15" s="4" t="n">
        <f aca="false">情景年表!O267</f>
        <v>11781.6323928718</v>
      </c>
      <c r="K15" s="7" t="n">
        <f aca="false">IF(情景参数!E8="联动",(D15-1.2*E15)/((1-情景参数!C8)*C15),"不适用")</f>
        <v>0.00783814522228246</v>
      </c>
      <c r="L15" s="7" t="n">
        <f aca="false">IF(情景参数!E8="联动",(D15-E15)/((1-情景参数!C8)*C15),"不适用")</f>
        <v>0.0623517075394048</v>
      </c>
    </row>
    <row r="16" customFormat="false" ht="15" hidden="false" customHeight="false" outlineLevel="0" collapsed="false">
      <c r="A16" s="2" t="s">
        <v>47</v>
      </c>
      <c r="B16" s="2" t="s">
        <v>39</v>
      </c>
      <c r="C16" s="4" t="n">
        <f aca="false">SUM(情景年表!E268:E286)</f>
        <v>198597.050309035</v>
      </c>
      <c r="D16" s="4" t="n">
        <f aca="false">SUM(情景年表!J268:J286)</f>
        <v>62997.2835832718</v>
      </c>
      <c r="E16" s="4" t="n">
        <f aca="false">SUM(情景年表!M268:M286)</f>
        <v>49703</v>
      </c>
      <c r="F16" s="5" t="n">
        <f aca="false">D16/E16</f>
        <v>1.26747447001734</v>
      </c>
      <c r="G16" s="4" t="n">
        <f aca="false">MIN(情景年表!N268:N286)</f>
        <v>-14600.5810665327</v>
      </c>
      <c r="H16" s="4" t="n">
        <f aca="false">MAX(0,-MIN(情景年表!O268:O286))</f>
        <v>16572.14044</v>
      </c>
      <c r="I16" s="6" t="n">
        <f aca="false">INDEX(情景年表!D268:D286,MATCH(MIN(情景年表!O268:O286),情景年表!O268:O286,0))</f>
        <v>2028</v>
      </c>
      <c r="J16" s="4" t="n">
        <f aca="false">情景年表!O286</f>
        <v>13294.2835832718</v>
      </c>
      <c r="K16" s="7" t="n">
        <f aca="false">IF(情景参数!E9="联动",(D16-1.2*E16)/((1-情景参数!C9)*C16),"不适用")</f>
        <v>0.0177756579972156</v>
      </c>
      <c r="L16" s="7" t="n">
        <f aca="false">IF(情景参数!E9="联动",(D16-E16)/((1-情景参数!C9)*C16),"不适用")</f>
        <v>0.070464202250021</v>
      </c>
    </row>
    <row r="17" customFormat="false" ht="15" hidden="false" customHeight="false" outlineLevel="0" collapsed="false">
      <c r="A17" s="2" t="s">
        <v>47</v>
      </c>
      <c r="B17" s="2" t="s">
        <v>40</v>
      </c>
      <c r="C17" s="4" t="n">
        <f aca="false">SUM(情景年表!E287:E305)</f>
        <v>198597.050309035</v>
      </c>
      <c r="D17" s="4" t="n">
        <f aca="false">SUM(情景年表!J287:J305)</f>
        <v>62997.2835832718</v>
      </c>
      <c r="E17" s="4" t="n">
        <f aca="false">SUM(情景年表!M287:M305)</f>
        <v>51502.9</v>
      </c>
      <c r="F17" s="5" t="n">
        <f aca="false">D17/E17</f>
        <v>1.22317934685759</v>
      </c>
      <c r="G17" s="4" t="n">
        <f aca="false">MIN(情景年表!N287:N305)</f>
        <v>-14600.5810665327</v>
      </c>
      <c r="H17" s="4" t="n">
        <f aca="false">MAX(0,-MIN(情景年表!O287:O305))</f>
        <v>7955.57142052649</v>
      </c>
      <c r="I17" s="6" t="n">
        <f aca="false">INDEX(情景年表!D287:D305,MATCH(MIN(情景年表!O287:O305),情景年表!O287:O305,0))</f>
        <v>2033</v>
      </c>
      <c r="J17" s="4" t="n">
        <f aca="false">情景年表!O305</f>
        <v>11494.3835832718</v>
      </c>
      <c r="K17" s="7" t="n">
        <f aca="false">IF(情景参数!E9="联动",(D17-1.2*E17)/((1-情景参数!C9)*C17),"不适用")</f>
        <v>0.0063275630169579</v>
      </c>
      <c r="L17" s="7" t="n">
        <f aca="false">IF(情景参数!E9="联动",(D17-E17)/((1-情景参数!C9)*C17),"不适用")</f>
        <v>0.0609241230998062</v>
      </c>
    </row>
    <row r="18" customFormat="false" ht="15" hidden="false" customHeight="false" outlineLevel="0" collapsed="false">
      <c r="A18" s="2" t="s">
        <v>48</v>
      </c>
      <c r="B18" s="2" t="s">
        <v>39</v>
      </c>
      <c r="C18" s="4" t="n">
        <f aca="false">SUM(情景年表!E306:E324)</f>
        <v>205183.59</v>
      </c>
      <c r="D18" s="4" t="n">
        <f aca="false">SUM(情景年表!J306:J324)</f>
        <v>71683.5515</v>
      </c>
      <c r="E18" s="4" t="n">
        <f aca="false">SUM(情景年表!M306:M324)</f>
        <v>49703</v>
      </c>
      <c r="F18" s="5" t="n">
        <f aca="false">D18/E18</f>
        <v>1.44223792326419</v>
      </c>
      <c r="G18" s="4" t="n">
        <f aca="false">MIN(情景年表!N306:N324)</f>
        <v>-13652.988</v>
      </c>
      <c r="H18" s="4" t="n">
        <f aca="false">MAX(0,-MIN(情景年表!O306:O324))</f>
        <v>16230.0545</v>
      </c>
      <c r="I18" s="6" t="n">
        <f aca="false">INDEX(情景年表!D306:D324,MATCH(MIN(情景年表!O306:O324),情景年表!O306:O324,0))</f>
        <v>2028</v>
      </c>
      <c r="J18" s="4" t="n">
        <f aca="false">情景年表!O324</f>
        <v>21980.5515</v>
      </c>
      <c r="K18" s="7" t="str">
        <f aca="false">IF(情景参数!E10="联动",(D18-1.2*E18)/((1-情景参数!C10)*C18),"不适用")</f>
        <v>不适用</v>
      </c>
      <c r="L18" s="7" t="str">
        <f aca="false">IF(情景参数!E10="联动",(D18-E18)/((1-情景参数!C10)*C18),"不适用")</f>
        <v>不适用</v>
      </c>
    </row>
    <row r="19" customFormat="false" ht="15" hidden="false" customHeight="false" outlineLevel="0" collapsed="false">
      <c r="A19" s="2" t="s">
        <v>48</v>
      </c>
      <c r="B19" s="2" t="s">
        <v>40</v>
      </c>
      <c r="C19" s="4" t="n">
        <f aca="false">SUM(情景年表!E325:E343)</f>
        <v>205183.59</v>
      </c>
      <c r="D19" s="4" t="n">
        <f aca="false">SUM(情景年表!J325:J343)</f>
        <v>71683.5515</v>
      </c>
      <c r="E19" s="4" t="n">
        <f aca="false">SUM(情景年表!M325:M343)</f>
        <v>51502.9</v>
      </c>
      <c r="F19" s="5" t="n">
        <f aca="false">D19/E19</f>
        <v>1.3918352461706</v>
      </c>
      <c r="G19" s="4" t="n">
        <f aca="false">MIN(情景年表!N325:N343)</f>
        <v>-13652.988</v>
      </c>
      <c r="H19" s="4" t="n">
        <f aca="false">MAX(0,-MIN(情景年表!O325:O343))</f>
        <v>6701.9545</v>
      </c>
      <c r="I19" s="6" t="n">
        <f aca="false">INDEX(情景年表!D325:D343,MATCH(MIN(情景年表!O325:O343),情景年表!O325:O343,0))</f>
        <v>2028</v>
      </c>
      <c r="J19" s="4" t="n">
        <f aca="false">情景年表!O343</f>
        <v>20180.6515</v>
      </c>
      <c r="K19" s="7" t="str">
        <f aca="false">IF(情景参数!E10="联动",(D19-1.2*E19)/((1-情景参数!C10)*C19),"不适用")</f>
        <v>不适用</v>
      </c>
      <c r="L19" s="7" t="str">
        <f aca="false">IF(情景参数!E10="联动",(D19-E19)/((1-情景参数!C10)*C19),"不适用")</f>
        <v>不适用</v>
      </c>
    </row>
    <row r="20" customFormat="false" ht="15" hidden="false" customHeight="false" outlineLevel="0" collapsed="false">
      <c r="A20" s="2" t="s">
        <v>49</v>
      </c>
      <c r="B20" s="2" t="s">
        <v>39</v>
      </c>
      <c r="C20" s="4" t="n">
        <f aca="false">SUM(情景年表!E344:E362)</f>
        <v>205183.59</v>
      </c>
      <c r="D20" s="4" t="n">
        <f aca="false">SUM(情景年表!J344:J362)</f>
        <v>65197.1905</v>
      </c>
      <c r="E20" s="4" t="n">
        <f aca="false">SUM(情景年表!M344:M362)</f>
        <v>49703</v>
      </c>
      <c r="F20" s="5" t="n">
        <f aca="false">D20/E20</f>
        <v>1.31173551898276</v>
      </c>
      <c r="G20" s="4" t="n">
        <f aca="false">MIN(情景年表!N344:N362)</f>
        <v>-14211.08</v>
      </c>
      <c r="H20" s="4" t="n">
        <f aca="false">MAX(0,-MIN(情景年表!O344:O362))</f>
        <v>16607.039</v>
      </c>
      <c r="I20" s="6" t="n">
        <f aca="false">INDEX(情景年表!D344:D362,MATCH(MIN(情景年表!O344:O362),情景年表!O344:O362,0))</f>
        <v>2028</v>
      </c>
      <c r="J20" s="4" t="n">
        <f aca="false">情景年表!O362</f>
        <v>15494.1905</v>
      </c>
      <c r="K20" s="7" t="str">
        <f aca="false">IF(情景参数!E11="联动",(D20-1.2*E20)/((1-情景参数!C11)*C20),"不适用")</f>
        <v>不适用</v>
      </c>
      <c r="L20" s="7" t="str">
        <f aca="false">IF(情景参数!E11="联动",(D20-E20)/((1-情景参数!C11)*C20),"不适用")</f>
        <v>不适用</v>
      </c>
    </row>
    <row r="21" customFormat="false" ht="15" hidden="false" customHeight="false" outlineLevel="0" collapsed="false">
      <c r="A21" s="2" t="s">
        <v>49</v>
      </c>
      <c r="B21" s="2" t="s">
        <v>40</v>
      </c>
      <c r="C21" s="4" t="n">
        <f aca="false">SUM(情景年表!E363:E381)</f>
        <v>205183.59</v>
      </c>
      <c r="D21" s="4" t="n">
        <f aca="false">SUM(情景年表!J363:J381)</f>
        <v>65197.1905</v>
      </c>
      <c r="E21" s="4" t="n">
        <f aca="false">SUM(情景年表!M363:M381)</f>
        <v>51502.9</v>
      </c>
      <c r="F21" s="5" t="n">
        <f aca="false">D21/E21</f>
        <v>1.26589358074982</v>
      </c>
      <c r="G21" s="4" t="n">
        <f aca="false">MIN(情景年表!N363:N381)</f>
        <v>-14211.08</v>
      </c>
      <c r="H21" s="4" t="n">
        <f aca="false">MAX(0,-MIN(情景年表!O363:O381))</f>
        <v>7937.2795</v>
      </c>
      <c r="I21" s="6" t="n">
        <f aca="false">INDEX(情景年表!D363:D381,MATCH(MIN(情景年表!O363:O381),情景年表!O363:O381,0))</f>
        <v>2033</v>
      </c>
      <c r="J21" s="4" t="n">
        <f aca="false">情景年表!O381</f>
        <v>13694.2905</v>
      </c>
      <c r="K21" s="7" t="str">
        <f aca="false">IF(情景参数!E11="联动",(D21-1.2*E21)/((1-情景参数!C11)*C21),"不适用")</f>
        <v>不适用</v>
      </c>
      <c r="L21" s="7" t="str">
        <f aca="false">IF(情景参数!E11="联动",(D21-E21)/((1-情景参数!C11)*C21),"不适用")</f>
        <v>不适用</v>
      </c>
    </row>
    <row r="22" customFormat="false" ht="15" hidden="false" customHeight="false" outlineLevel="0" collapsed="false">
      <c r="A22" s="2" t="s">
        <v>50</v>
      </c>
      <c r="B22" s="2" t="s">
        <v>39</v>
      </c>
      <c r="C22" s="4" t="n">
        <f aca="false">SUM(情景年表!E382:E400)</f>
        <v>205183.59</v>
      </c>
      <c r="D22" s="4" t="n">
        <f aca="false">SUM(情景年表!J382:J400)</f>
        <v>65356.0080796885</v>
      </c>
      <c r="E22" s="4" t="n">
        <f aca="false">SUM(情景年表!M382:M400)</f>
        <v>49703</v>
      </c>
      <c r="F22" s="5" t="n">
        <f aca="false">D22/E22</f>
        <v>1.31493085084781</v>
      </c>
      <c r="G22" s="4" t="n">
        <f aca="false">MIN(情景年表!N382:N400)</f>
        <v>-14202.2006624363</v>
      </c>
      <c r="H22" s="4" t="n">
        <f aca="false">MAX(0,-MIN(情景年表!O382:O400))</f>
        <v>16597.80602</v>
      </c>
      <c r="I22" s="6" t="n">
        <f aca="false">INDEX(情景年表!D382:D400,MATCH(MIN(情景年表!O382:O400),情景年表!O382:O400,0))</f>
        <v>2028</v>
      </c>
      <c r="J22" s="4" t="n">
        <f aca="false">情景年表!O400</f>
        <v>15653.0080796885</v>
      </c>
      <c r="K22" s="7" t="n">
        <f aca="false">IF(情景参数!E12="联动",(D22-1.2*E22)/((1-情景参数!C12)*C22),"不适用")</f>
        <v>0.0284086453327816</v>
      </c>
      <c r="L22" s="7" t="n">
        <f aca="false">IF(情景参数!E12="联动",(D22-E22)/((1-情景参数!C12)*C22),"不适用")</f>
        <v>0.0778447107986168</v>
      </c>
    </row>
    <row r="23" customFormat="false" ht="15" hidden="false" customHeight="false" outlineLevel="0" collapsed="false">
      <c r="A23" s="2" t="s">
        <v>50</v>
      </c>
      <c r="B23" s="2" t="s">
        <v>40</v>
      </c>
      <c r="C23" s="4" t="n">
        <f aca="false">SUM(情景年表!E401:E419)</f>
        <v>205183.59</v>
      </c>
      <c r="D23" s="4" t="n">
        <f aca="false">SUM(情景年表!J401:J419)</f>
        <v>65356.0080796885</v>
      </c>
      <c r="E23" s="4" t="n">
        <f aca="false">SUM(情景年表!M401:M419)</f>
        <v>51502.9</v>
      </c>
      <c r="F23" s="5" t="n">
        <f aca="false">D23/E23</f>
        <v>1.26897724360548</v>
      </c>
      <c r="G23" s="4" t="n">
        <f aca="false">MIN(情景年表!N401:N419)</f>
        <v>-14202.2006624363</v>
      </c>
      <c r="H23" s="4" t="n">
        <f aca="false">MAX(0,-MIN(情景年表!O401:O419))</f>
        <v>7867.5452090265</v>
      </c>
      <c r="I23" s="6" t="n">
        <f aca="false">INDEX(情景年表!D401:D419,MATCH(MIN(情景年表!O401:O419),情景年表!O401:O419,0))</f>
        <v>2033</v>
      </c>
      <c r="J23" s="4" t="n">
        <f aca="false">情景年表!O419</f>
        <v>13853.1080796885</v>
      </c>
      <c r="K23" s="7" t="n">
        <f aca="false">IF(情景参数!E12="联动",(D23-1.2*E23)/((1-情景参数!C12)*C23),"不适用")</f>
        <v>0.0176672445040239</v>
      </c>
      <c r="L23" s="7" t="n">
        <f aca="false">IF(情景参数!E12="联动",(D23-E23)/((1-情景参数!C12)*C23),"不适用")</f>
        <v>0.0688935434413188</v>
      </c>
    </row>
    <row r="24" customFormat="false" ht="15" hidden="false" customHeight="false" outlineLevel="0" collapsed="false">
      <c r="A24" s="2" t="s">
        <v>51</v>
      </c>
      <c r="B24" s="2" t="s">
        <v>39</v>
      </c>
      <c r="C24" s="4" t="n">
        <f aca="false">SUM(情景年表!E420:E438)</f>
        <v>205183.59</v>
      </c>
      <c r="D24" s="4" t="n">
        <f aca="false">SUM(情景年表!J420:J438)</f>
        <v>59508.2757646885</v>
      </c>
      <c r="E24" s="4" t="n">
        <f aca="false">SUM(情景年表!M420:M438)</f>
        <v>49703</v>
      </c>
      <c r="F24" s="5" t="n">
        <f aca="false">D24/E24</f>
        <v>1.19727734270947</v>
      </c>
      <c r="G24" s="4" t="n">
        <f aca="false">MIN(情景年表!N420:N438)</f>
        <v>-14730.0434624363</v>
      </c>
      <c r="H24" s="4" t="n">
        <f aca="false">MAX(0,-MIN(情景年表!O420:O438))</f>
        <v>16860.99155</v>
      </c>
      <c r="I24" s="6" t="n">
        <f aca="false">INDEX(情景年表!D420:D438,MATCH(MIN(情景年表!O420:O438),情景年表!O420:O438,0))</f>
        <v>2028</v>
      </c>
      <c r="J24" s="4" t="n">
        <f aca="false">情景年表!O438</f>
        <v>9805.27576468853</v>
      </c>
      <c r="K24" s="7" t="n">
        <f aca="false">IF(情景参数!E13="联动",(D24-1.2*E24)/((1-情景参数!C13)*C24),"不适用")</f>
        <v>-0.000694239551446339</v>
      </c>
      <c r="L24" s="7" t="n">
        <f aca="false">IF(情景参数!E13="联动",(D24-E24)/((1-情景参数!C13)*C24),"不适用")</f>
        <v>0.0503029648238364</v>
      </c>
    </row>
    <row r="25" customFormat="false" ht="15" hidden="false" customHeight="false" outlineLevel="0" collapsed="false">
      <c r="A25" s="2" t="s">
        <v>51</v>
      </c>
      <c r="B25" s="2" t="s">
        <v>40</v>
      </c>
      <c r="C25" s="4" t="n">
        <f aca="false">SUM(情景年表!E439:E457)</f>
        <v>205183.59</v>
      </c>
      <c r="D25" s="4" t="n">
        <f aca="false">SUM(情景年表!J439:J457)</f>
        <v>59508.2757646885</v>
      </c>
      <c r="E25" s="4" t="n">
        <f aca="false">SUM(情景年表!M439:M457)</f>
        <v>51502.9</v>
      </c>
      <c r="F25" s="5" t="n">
        <f aca="false">D25/E25</f>
        <v>1.15543543693051</v>
      </c>
      <c r="G25" s="4" t="n">
        <f aca="false">MIN(情景年表!N439:N457)</f>
        <v>-14730.0434624363</v>
      </c>
      <c r="H25" s="4" t="n">
        <f aca="false">MAX(0,-MIN(情景年表!O439:O457))</f>
        <v>9855.5567240265</v>
      </c>
      <c r="I25" s="6" t="n">
        <f aca="false">INDEX(情景年表!D439:D457,MATCH(MIN(情景年表!O439:O457),情景年表!O439:O457,0))</f>
        <v>2033</v>
      </c>
      <c r="J25" s="4" t="n">
        <f aca="false">情景年表!O457</f>
        <v>8005.37576468854</v>
      </c>
      <c r="K25" s="7" t="n">
        <f aca="false">IF(情景参数!E13="联动",(D25-1.2*E25)/((1-情景参数!C13)*C25),"不适用")</f>
        <v>-0.0117748425116384</v>
      </c>
      <c r="L25" s="7" t="n">
        <f aca="false">IF(情景参数!E13="联动",(D25-E25)/((1-情景参数!C13)*C25),"不适用")</f>
        <v>0.0410691290236763</v>
      </c>
    </row>
    <row r="26" customFormat="false" ht="15" hidden="false" customHeight="false" outlineLevel="0" collapsed="false">
      <c r="A26" s="2" t="s">
        <v>52</v>
      </c>
      <c r="B26" s="2" t="s">
        <v>39</v>
      </c>
      <c r="C26" s="4" t="n">
        <f aca="false">SUM(情景年表!E458:E476)</f>
        <v>198899.417477035</v>
      </c>
      <c r="D26" s="4" t="n">
        <f aca="false">SUM(情景年表!J458:J476)</f>
        <v>53836.8100627126</v>
      </c>
      <c r="E26" s="4" t="n">
        <f aca="false">SUM(情景年表!M458:M476)</f>
        <v>49703</v>
      </c>
      <c r="F26" s="5" t="n">
        <f aca="false">D26/E26</f>
        <v>1.08317023243492</v>
      </c>
      <c r="G26" s="4" t="n">
        <f aca="false">MIN(情景年表!N458:N476)</f>
        <v>-15410.8717750479</v>
      </c>
      <c r="H26" s="4" t="n">
        <f aca="false">MAX(0,-MIN(情景年表!O458:O476))</f>
        <v>17003.293418</v>
      </c>
      <c r="I26" s="6" t="n">
        <f aca="false">INDEX(情景年表!D458:D476,MATCH(MIN(情景年表!O458:O476),情景年表!O458:O476,0))</f>
        <v>2028</v>
      </c>
      <c r="J26" s="4" t="n">
        <f aca="false">情景年表!O476</f>
        <v>4133.81006271259</v>
      </c>
      <c r="K26" s="7" t="n">
        <f aca="false">IF(情景参数!E14="联动",(D26-1.2*E26)/((1-情景参数!C14)*C26),"不适用")</f>
        <v>-0.0307311632071938</v>
      </c>
      <c r="L26" s="7" t="n">
        <f aca="false">IF(情景参数!E14="联动",(D26-E26)/((1-情景参数!C14)*C26),"不适用")</f>
        <v>0.0218772838481746</v>
      </c>
    </row>
    <row r="27" customFormat="false" ht="15" hidden="false" customHeight="false" outlineLevel="0" collapsed="false">
      <c r="A27" s="2" t="s">
        <v>52</v>
      </c>
      <c r="B27" s="2" t="s">
        <v>40</v>
      </c>
      <c r="C27" s="4" t="n">
        <f aca="false">SUM(情景年表!E477:E495)</f>
        <v>198899.417477035</v>
      </c>
      <c r="D27" s="4" t="n">
        <f aca="false">SUM(情景年表!J477:J495)</f>
        <v>53836.8100627126</v>
      </c>
      <c r="E27" s="4" t="n">
        <f aca="false">SUM(情景年表!M477:M495)</f>
        <v>51502.9</v>
      </c>
      <c r="F27" s="5" t="n">
        <f aca="false">D27/E27</f>
        <v>1.04531609021458</v>
      </c>
      <c r="G27" s="4" t="n">
        <f aca="false">MIN(情景年表!N477:N495)</f>
        <v>-15410.8717750479</v>
      </c>
      <c r="H27" s="4" t="n">
        <f aca="false">MAX(0,-MIN(情景年表!O477:O495))</f>
        <v>11169.2251196515</v>
      </c>
      <c r="I27" s="6" t="n">
        <f aca="false">INDEX(情景年表!D477:D495,MATCH(MIN(情景年表!O477:O495),情景年表!O477:O495,0))</f>
        <v>2033</v>
      </c>
      <c r="J27" s="4" t="n">
        <f aca="false">情景年表!O495</f>
        <v>2333.91006271259</v>
      </c>
      <c r="K27" s="7" t="n">
        <f aca="false">IF(情景参数!E14="联动",(D27-1.2*E27)/((1-情景参数!C14)*C27),"不适用")</f>
        <v>-0.0421618547777176</v>
      </c>
      <c r="L27" s="7" t="n">
        <f aca="false">IF(情景参数!E14="联动",(D27-E27)/((1-情景参数!C14)*C27),"不适用")</f>
        <v>0.0123517075394047</v>
      </c>
    </row>
    <row r="28" customFormat="false" ht="15" hidden="false" customHeight="false" outlineLevel="0" collapsed="false">
      <c r="A28" s="2" t="s">
        <v>53</v>
      </c>
      <c r="B28" s="2" t="s">
        <v>39</v>
      </c>
      <c r="C28" s="4" t="n">
        <f aca="false">SUM(情景年表!E496:E514)</f>
        <v>198899.417477035</v>
      </c>
      <c r="D28" s="4" t="n">
        <f aca="false">SUM(情景年表!J496:J514)</f>
        <v>59505.4434608081</v>
      </c>
      <c r="E28" s="4" t="n">
        <f aca="false">SUM(情景年表!M496:M514)</f>
        <v>49703</v>
      </c>
      <c r="F28" s="5" t="n">
        <f aca="false">D28/E28</f>
        <v>1.19722035814353</v>
      </c>
      <c r="G28" s="4" t="n">
        <f aca="false">MIN(情景年表!N496:N514)</f>
        <v>-14904.5288164988</v>
      </c>
      <c r="H28" s="4" t="n">
        <f aca="false">MAX(0,-MIN(情景年表!O496:O514))</f>
        <v>16744.6016312</v>
      </c>
      <c r="I28" s="6" t="n">
        <f aca="false">INDEX(情景年表!D496:D514,MATCH(MIN(情景年表!O496:O514),情景年表!O496:O514,0))</f>
        <v>2028</v>
      </c>
      <c r="J28" s="4" t="n">
        <f aca="false">情景年表!O514</f>
        <v>9802.44346080808</v>
      </c>
      <c r="K28" s="7" t="n">
        <f aca="false">IF(情景参数!E15="联动",(D28-1.2*E28)/((1-情景参数!C15)*C28),"不适用")</f>
        <v>-0.00070878066003481</v>
      </c>
      <c r="L28" s="7" t="n">
        <f aca="false">IF(情景参数!E15="联动",(D28-E28)/((1-情景参数!C15)*C28),"不适用")</f>
        <v>0.0502892037303733</v>
      </c>
    </row>
    <row r="29" customFormat="false" ht="15" hidden="false" customHeight="false" outlineLevel="0" collapsed="false">
      <c r="A29" s="2" t="s">
        <v>53</v>
      </c>
      <c r="B29" s="2" t="s">
        <v>40</v>
      </c>
      <c r="C29" s="4" t="n">
        <f aca="false">SUM(情景年表!E515:E533)</f>
        <v>198899.417477035</v>
      </c>
      <c r="D29" s="4" t="n">
        <f aca="false">SUM(情景年表!J515:J533)</f>
        <v>59505.4434608081</v>
      </c>
      <c r="E29" s="4" t="n">
        <f aca="false">SUM(情景年表!M515:M533)</f>
        <v>51502.9</v>
      </c>
      <c r="F29" s="5" t="n">
        <f aca="false">D29/E29</f>
        <v>1.15538044383536</v>
      </c>
      <c r="G29" s="4" t="n">
        <f aca="false">MIN(情景年表!N515:N533)</f>
        <v>-14904.5288164988</v>
      </c>
      <c r="H29" s="4" t="n">
        <f aca="false">MAX(0,-MIN(情景年表!O515:O533))</f>
        <v>9222.6978697765</v>
      </c>
      <c r="I29" s="6" t="n">
        <f aca="false">INDEX(情景年表!D515:D533,MATCH(MIN(情景年表!O515:O533),情景年表!O515:O533,0))</f>
        <v>2033</v>
      </c>
      <c r="J29" s="4" t="n">
        <f aca="false">情景年表!O533</f>
        <v>8002.54346080809</v>
      </c>
      <c r="K29" s="7" t="n">
        <f aca="false">IF(情景参数!E15="联动",(D29-1.2*E29)/((1-情景参数!C15)*C29),"不适用")</f>
        <v>-0.0117895531008487</v>
      </c>
      <c r="L29" s="7" t="n">
        <f aca="false">IF(情景参数!E15="联动",(D29-E29)/((1-情景参数!C15)*C29),"不适用")</f>
        <v>0.0410552266963617</v>
      </c>
    </row>
    <row r="30" customFormat="false" ht="15" hidden="false" customHeight="false" outlineLevel="0" collapsed="false">
      <c r="A30" s="2" t="s">
        <v>54</v>
      </c>
      <c r="B30" s="2" t="s">
        <v>39</v>
      </c>
      <c r="C30" s="4" t="n">
        <f aca="false">SUM(情景年表!E534:E552)</f>
        <v>199365.807077035</v>
      </c>
      <c r="D30" s="4" t="n">
        <f aca="false">SUM(情景年表!J534:J552)</f>
        <v>59939.6521784081</v>
      </c>
      <c r="E30" s="4" t="n">
        <f aca="false">SUM(情景年表!M534:M552)</f>
        <v>49703</v>
      </c>
      <c r="F30" s="5" t="n">
        <f aca="false">D30/E30</f>
        <v>1.20595642473106</v>
      </c>
      <c r="G30" s="4" t="n">
        <f aca="false">MIN(情景年表!N534:N552)</f>
        <v>-14877.0751160988</v>
      </c>
      <c r="H30" s="4" t="n">
        <f aca="false">MAX(0,-MIN(情景年表!O534:O552))</f>
        <v>16744.6061</v>
      </c>
      <c r="I30" s="6" t="n">
        <f aca="false">INDEX(情景年表!D534:D552,MATCH(MIN(情景年表!O534:O552),情景年表!O534:O552,0))</f>
        <v>2028</v>
      </c>
      <c r="J30" s="4" t="n">
        <f aca="false">情景年表!O552</f>
        <v>10236.6521784081</v>
      </c>
      <c r="K30" s="7" t="n">
        <f aca="false">IF(情景参数!E16="联动",(D30-1.2*E30)/((1-情景参数!C16)*C30),"不适用")</f>
        <v>0.00151527518198423</v>
      </c>
      <c r="L30" s="7" t="n">
        <f aca="false">IF(情景参数!E16="联动",(D30-E30)/((1-情景参数!C16)*C30),"不适用")</f>
        <v>0.0523939566192463</v>
      </c>
    </row>
    <row r="31" customFormat="false" ht="15" hidden="false" customHeight="false" outlineLevel="0" collapsed="false">
      <c r="A31" s="2" t="s">
        <v>54</v>
      </c>
      <c r="B31" s="2" t="s">
        <v>40</v>
      </c>
      <c r="C31" s="4" t="n">
        <f aca="false">SUM(情景年表!E553:E571)</f>
        <v>199365.807077035</v>
      </c>
      <c r="D31" s="4" t="n">
        <f aca="false">SUM(情景年表!J553:J571)</f>
        <v>59939.6521784081</v>
      </c>
      <c r="E31" s="4" t="n">
        <f aca="false">SUM(情景年表!M553:M571)</f>
        <v>51502.9</v>
      </c>
      <c r="F31" s="5" t="n">
        <f aca="false">D31/E31</f>
        <v>1.16381120632834</v>
      </c>
      <c r="G31" s="4" t="n">
        <f aca="false">MIN(情景年表!N553:N571)</f>
        <v>-14877.0751160988</v>
      </c>
      <c r="H31" s="4" t="n">
        <f aca="false">MAX(0,-MIN(情景年表!O553:O571))</f>
        <v>8998.1220497765</v>
      </c>
      <c r="I31" s="6" t="n">
        <f aca="false">INDEX(情景年表!D553:D571,MATCH(MIN(情景年表!O553:O571),情景年表!O553:O571,0))</f>
        <v>2033</v>
      </c>
      <c r="J31" s="4" t="n">
        <f aca="false">情景年表!O571</f>
        <v>8436.75217840808</v>
      </c>
      <c r="K31" s="7" t="n">
        <f aca="false">IF(情景参数!E16="联动",(D31-1.2*E31)/((1-情景参数!C16)*C31),"不适用")</f>
        <v>-0.00953957527600758</v>
      </c>
      <c r="L31" s="7" t="n">
        <f aca="false">IF(情景参数!E16="联动",(D31-E31)/((1-情景参数!C16)*C31),"不适用")</f>
        <v>0.0431815812375864</v>
      </c>
    </row>
    <row r="32" customFormat="false" ht="15" hidden="false" customHeight="false" outlineLevel="0" collapsed="false">
      <c r="A32" s="2" t="s">
        <v>55</v>
      </c>
      <c r="B32" s="2" t="s">
        <v>39</v>
      </c>
      <c r="C32" s="4" t="n">
        <f aca="false">SUM(情景年表!E572:E590)</f>
        <v>199365.807077035</v>
      </c>
      <c r="D32" s="4" t="n">
        <f aca="false">SUM(情景年表!J572:J590)</f>
        <v>54257.7266767126</v>
      </c>
      <c r="E32" s="4" t="n">
        <f aca="false">SUM(情景年表!M572:M590)</f>
        <v>49703</v>
      </c>
      <c r="F32" s="5" t="n">
        <f aca="false">D32/E32</f>
        <v>1.09163886841262</v>
      </c>
      <c r="G32" s="4" t="n">
        <f aca="false">MIN(情景年表!N572:N590)</f>
        <v>-15384.2584940479</v>
      </c>
      <c r="H32" s="4" t="n">
        <f aca="false">MAX(0,-MIN(情景年表!O572:O590))</f>
        <v>17003.29775</v>
      </c>
      <c r="I32" s="6" t="n">
        <f aca="false">INDEX(情景年表!D572:D590,MATCH(MIN(情景年表!O572:O590),情景年表!O572:O590,0))</f>
        <v>2028</v>
      </c>
      <c r="J32" s="4" t="n">
        <f aca="false">情景年表!O590</f>
        <v>4554.72667671259</v>
      </c>
      <c r="K32" s="7" t="n">
        <f aca="false">IF(情景参数!E17="联动",(D32-1.2*E32)/((1-情景参数!C17)*C32),"不适用")</f>
        <v>-0.0284368740227952</v>
      </c>
      <c r="L32" s="7" t="n">
        <f aca="false">IF(情景参数!E17="联动",(D32-E32)/((1-情景参数!C17)*C32),"不适用")</f>
        <v>0.0240485026177488</v>
      </c>
    </row>
    <row r="33" customFormat="false" ht="15" hidden="false" customHeight="false" outlineLevel="0" collapsed="false">
      <c r="A33" s="2" t="s">
        <v>55</v>
      </c>
      <c r="B33" s="2" t="s">
        <v>40</v>
      </c>
      <c r="C33" s="4" t="n">
        <f aca="false">SUM(情景年表!E591:E609)</f>
        <v>199365.807077035</v>
      </c>
      <c r="D33" s="4" t="n">
        <f aca="false">SUM(情景年表!J591:J609)</f>
        <v>54257.7266767126</v>
      </c>
      <c r="E33" s="4" t="n">
        <f aca="false">SUM(情景年表!M591:M609)</f>
        <v>51502.9</v>
      </c>
      <c r="F33" s="5" t="n">
        <f aca="false">D33/E33</f>
        <v>1.05348876814146</v>
      </c>
      <c r="G33" s="4" t="n">
        <f aca="false">MIN(情景年表!N591:N609)</f>
        <v>-15384.2584940479</v>
      </c>
      <c r="H33" s="4" t="n">
        <f aca="false">MAX(0,-MIN(情景年表!O591:O609))</f>
        <v>10951.5240696515</v>
      </c>
      <c r="I33" s="6" t="n">
        <f aca="false">INDEX(情景年表!D591:D609,MATCH(MIN(情景年表!O591:O609),情景年表!O591:O609,0))</f>
        <v>2033</v>
      </c>
      <c r="J33" s="4" t="n">
        <f aca="false">情景年表!O609</f>
        <v>2754.82667671258</v>
      </c>
      <c r="K33" s="7" t="n">
        <f aca="false">IF(情景参数!E17="联动",(D33-1.2*E33)/((1-情景参数!C17)*C33),"不适用")</f>
        <v>-0.0398408250215657</v>
      </c>
      <c r="L33" s="7" t="n">
        <f aca="false">IF(情景参数!E17="联动",(D33-E33)/((1-情景参数!C17)*C33),"不适用")</f>
        <v>0.0145452101187733</v>
      </c>
    </row>
    <row r="34" customFormat="false" ht="15" hidden="false" customHeight="false" outlineLevel="0" collapsed="false">
      <c r="A34" s="2" t="s">
        <v>56</v>
      </c>
      <c r="B34" s="2" t="s">
        <v>39</v>
      </c>
      <c r="C34" s="4" t="n">
        <f aca="false">SUM(情景年表!E610:E628)</f>
        <v>198597.050309035</v>
      </c>
      <c r="D34" s="4" t="n">
        <f aca="false">SUM(情景年表!J610:J628)</f>
        <v>68955.1950925428</v>
      </c>
      <c r="E34" s="4" t="n">
        <f aca="false">SUM(情景年表!M610:M628)</f>
        <v>49703</v>
      </c>
      <c r="F34" s="5" t="n">
        <f aca="false">D34/E34</f>
        <v>1.38734472954435</v>
      </c>
      <c r="G34" s="4" t="n">
        <f aca="false">MIN(情景年表!N610:N628)</f>
        <v>-14068.6499803463</v>
      </c>
      <c r="H34" s="4" t="n">
        <f aca="false">MAX(0,-MIN(情景年表!O610:O628))</f>
        <v>16299.833296</v>
      </c>
      <c r="I34" s="6" t="n">
        <f aca="false">INDEX(情景年表!D610:D628,MATCH(MIN(情景年表!O610:O628),情景年表!O610:O628,0))</f>
        <v>2028</v>
      </c>
      <c r="J34" s="4" t="n">
        <f aca="false">情景年表!O628</f>
        <v>19252.1950925428</v>
      </c>
      <c r="K34" s="7" t="n">
        <f aca="false">IF(情景参数!E18="联动",(D34-1.2*E34)/((1-情景参数!C18)*C34),"不适用")</f>
        <v>0.0478437500993416</v>
      </c>
      <c r="L34" s="7" t="n">
        <f aca="false">IF(情景参数!E18="联动",(D34-E34)/((1-情景参数!C18)*C34),"不适用")</f>
        <v>0.0989193797321632</v>
      </c>
    </row>
    <row r="35" customFormat="false" ht="15" hidden="false" customHeight="false" outlineLevel="0" collapsed="false">
      <c r="A35" s="2" t="s">
        <v>56</v>
      </c>
      <c r="B35" s="2" t="s">
        <v>40</v>
      </c>
      <c r="C35" s="4" t="n">
        <f aca="false">SUM(情景年表!E629:E647)</f>
        <v>198597.050309035</v>
      </c>
      <c r="D35" s="4" t="n">
        <f aca="false">SUM(情景年表!J629:J647)</f>
        <v>68955.1950925428</v>
      </c>
      <c r="E35" s="4" t="n">
        <f aca="false">SUM(情景年表!M629:M647)</f>
        <v>51502.9</v>
      </c>
      <c r="F35" s="5" t="n">
        <f aca="false">D35/E35</f>
        <v>1.33886043489867</v>
      </c>
      <c r="G35" s="4" t="n">
        <f aca="false">MIN(情景年表!N629:N647)</f>
        <v>-14068.6499803463</v>
      </c>
      <c r="H35" s="4" t="n">
        <f aca="false">MAX(0,-MIN(情景年表!O629:O647))</f>
        <v>6771.733296</v>
      </c>
      <c r="I35" s="6" t="n">
        <f aca="false">INDEX(情景年表!D629:D647,MATCH(MIN(情景年表!O629:O647),情景年表!O629:O647,0))</f>
        <v>2028</v>
      </c>
      <c r="J35" s="4" t="n">
        <f aca="false">情景年表!O647</f>
        <v>17452.2950925428</v>
      </c>
      <c r="K35" s="7" t="n">
        <f aca="false">IF(情景参数!E18="联动",(D35-1.2*E35)/((1-情景参数!C18)*C35),"不适用")</f>
        <v>0.0367461070062347</v>
      </c>
      <c r="L35" s="7" t="n">
        <f aca="false">IF(情景参数!E18="联动",(D35-E35)/((1-情景参数!C18)*C35),"不适用")</f>
        <v>0.0896713438212408</v>
      </c>
    </row>
    <row r="36" customFormat="false" ht="15" hidden="false" customHeight="false" outlineLevel="0" collapsed="false">
      <c r="A36" s="2" t="s">
        <v>57</v>
      </c>
      <c r="B36" s="2" t="s">
        <v>39</v>
      </c>
      <c r="C36" s="4" t="n">
        <f aca="false">SUM(情景年表!E648:E666)</f>
        <v>198597.050309035</v>
      </c>
      <c r="D36" s="4" t="n">
        <f aca="false">SUM(情景年表!J648:J666)</f>
        <v>59223.9396274001</v>
      </c>
      <c r="E36" s="4" t="n">
        <f aca="false">SUM(情景年表!M648:M666)</f>
        <v>49703</v>
      </c>
      <c r="F36" s="5" t="n">
        <f aca="false">D36/E36</f>
        <v>1.19155663898356</v>
      </c>
      <c r="G36" s="4" t="n">
        <f aca="false">MIN(情景年表!N648:N666)</f>
        <v>-14937.4707544508</v>
      </c>
      <c r="H36" s="4" t="n">
        <f aca="false">MAX(0,-MIN(情景年表!O648:O666))</f>
        <v>16744.6016312</v>
      </c>
      <c r="I36" s="6" t="n">
        <f aca="false">INDEX(情景年表!D648:D666,MATCH(MIN(情景年表!O648:O666),情景年表!O648:O666,0))</f>
        <v>2028</v>
      </c>
      <c r="J36" s="4" t="n">
        <f aca="false">情景年表!O666</f>
        <v>9520.93962740008</v>
      </c>
      <c r="K36" s="7" t="n">
        <f aca="false">IF(情景参数!E19="联动",(D36-1.2*E36)/((1-情景参数!C19)*C36),"不适用")</f>
        <v>-0.00215624990065843</v>
      </c>
      <c r="L36" s="7" t="n">
        <f aca="false">IF(情景参数!E19="联动",(D36-E36)/((1-情景参数!C19)*C36),"不适用")</f>
        <v>0.0489193797321631</v>
      </c>
    </row>
    <row r="37" customFormat="false" ht="15" hidden="false" customHeight="false" outlineLevel="0" collapsed="false">
      <c r="A37" s="2" t="s">
        <v>57</v>
      </c>
      <c r="B37" s="2" t="s">
        <v>40</v>
      </c>
      <c r="C37" s="4" t="n">
        <f aca="false">SUM(情景年表!E667:E685)</f>
        <v>198597.050309035</v>
      </c>
      <c r="D37" s="4" t="n">
        <f aca="false">SUM(情景年表!J667:J685)</f>
        <v>59223.9396274001</v>
      </c>
      <c r="E37" s="4" t="n">
        <f aca="false">SUM(情景年表!M667:M685)</f>
        <v>51502.9</v>
      </c>
      <c r="F37" s="5" t="n">
        <f aca="false">D37/E37</f>
        <v>1.1499146577649</v>
      </c>
      <c r="G37" s="4" t="n">
        <f aca="false">MIN(情景年表!N667:N685)</f>
        <v>-14937.4707544508</v>
      </c>
      <c r="H37" s="4" t="n">
        <f aca="false">MAX(0,-MIN(情景年表!O667:O685))</f>
        <v>9252.6450860965</v>
      </c>
      <c r="I37" s="6" t="n">
        <f aca="false">INDEX(情景年表!D667:D685,MATCH(MIN(情景年表!O667:O685),情景年表!O667:O685,0))</f>
        <v>2033</v>
      </c>
      <c r="J37" s="4" t="n">
        <f aca="false">情景年表!O685</f>
        <v>7721.03962740008</v>
      </c>
      <c r="K37" s="7" t="n">
        <f aca="false">IF(情景参数!E19="联动",(D37-1.2*E37)/((1-情景参数!C19)*C37),"不适用")</f>
        <v>-0.0132538929937653</v>
      </c>
      <c r="L37" s="7" t="n">
        <f aca="false">IF(情景参数!E19="联动",(D37-E37)/((1-情景参数!C19)*C37),"不适用")</f>
        <v>0.0396713438212407</v>
      </c>
    </row>
    <row r="38" customFormat="false" ht="15" hidden="false" customHeight="false" outlineLevel="0" collapsed="false">
      <c r="A38" s="2" t="s">
        <v>58</v>
      </c>
      <c r="B38" s="2" t="s">
        <v>39</v>
      </c>
      <c r="C38" s="4" t="n">
        <f aca="false">SUM(情景年表!E686:E704)</f>
        <v>198597.050309035</v>
      </c>
      <c r="D38" s="4" t="n">
        <f aca="false">SUM(情景年表!J686:J704)</f>
        <v>53563.9236935926</v>
      </c>
      <c r="E38" s="4" t="n">
        <f aca="false">SUM(情景年表!M686:M704)</f>
        <v>49703</v>
      </c>
      <c r="F38" s="5" t="n">
        <f aca="false">D38/E38</f>
        <v>1.0776798924329</v>
      </c>
      <c r="G38" s="4" t="n">
        <f aca="false">MIN(情景年表!N686:N704)</f>
        <v>-15442.8052863279</v>
      </c>
      <c r="H38" s="4" t="n">
        <f aca="false">MAX(0,-MIN(情景年表!O686:O704))</f>
        <v>17003.293418</v>
      </c>
      <c r="I38" s="6" t="n">
        <f aca="false">INDEX(情景年表!D686:D704,MATCH(MIN(情景年表!O686:O704),情景年表!O686:O704,0))</f>
        <v>2028</v>
      </c>
      <c r="J38" s="4" t="n">
        <f aca="false">情景年表!O704</f>
        <v>3860.92369359258</v>
      </c>
      <c r="K38" s="7" t="n">
        <f aca="false">IF(情景参数!E20="联动",(D38-1.2*E38)/((1-情景参数!C20)*C38),"不适用")</f>
        <v>-0.0322243420027845</v>
      </c>
      <c r="L38" s="7" t="n">
        <f aca="false">IF(情景参数!E20="联动",(D38-E38)/((1-情景参数!C20)*C38),"不适用")</f>
        <v>0.0204642022500209</v>
      </c>
    </row>
    <row r="39" customFormat="false" ht="15" hidden="false" customHeight="false" outlineLevel="0" collapsed="false">
      <c r="A39" s="2" t="s">
        <v>58</v>
      </c>
      <c r="B39" s="2" t="s">
        <v>40</v>
      </c>
      <c r="C39" s="4" t="n">
        <f aca="false">SUM(情景年表!E705:E723)</f>
        <v>198597.050309035</v>
      </c>
      <c r="D39" s="4" t="n">
        <f aca="false">SUM(情景年表!J705:J723)</f>
        <v>53563.9236935926</v>
      </c>
      <c r="E39" s="4" t="n">
        <f aca="false">SUM(情景年表!M705:M723)</f>
        <v>51502.9</v>
      </c>
      <c r="F39" s="5" t="n">
        <f aca="false">D39/E39</f>
        <v>1.04001762412588</v>
      </c>
      <c r="G39" s="4" t="n">
        <f aca="false">MIN(情景年表!N705:N723)</f>
        <v>-15442.8052863279</v>
      </c>
      <c r="H39" s="4" t="n">
        <f aca="false">MAX(0,-MIN(情景年表!O705:O723))</f>
        <v>11198.2555844515</v>
      </c>
      <c r="I39" s="6" t="n">
        <f aca="false">INDEX(情景年表!D705:D723,MATCH(MIN(情景年表!O705:O723),情景年表!O705:O723,0))</f>
        <v>2033</v>
      </c>
      <c r="J39" s="4" t="n">
        <f aca="false">情景年表!O723</f>
        <v>2061.02369359258</v>
      </c>
      <c r="K39" s="7" t="n">
        <f aca="false">IF(情景参数!E20="联动",(D39-1.2*E39)/((1-情景参数!C20)*C39),"不适用")</f>
        <v>-0.0436724369830422</v>
      </c>
      <c r="L39" s="7" t="n">
        <f aca="false">IF(情景参数!E20="联动",(D39-E39)/((1-情景参数!C20)*C39),"不适用")</f>
        <v>0.0109241230998062</v>
      </c>
    </row>
  </sheetData>
  <autoFilter ref="A1:L39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48"/>
    <col collapsed="false" customWidth="true" hidden="false" outlineLevel="0" max="4" min="4" style="0" width="65"/>
    <col collapsed="false" customWidth="true" hidden="false" outlineLevel="0" max="5" min="5" style="0" width="48"/>
    <col collapsed="false" customWidth="true" hidden="false" outlineLevel="0" max="6" min="6" style="0" width="74"/>
  </cols>
  <sheetData>
    <row r="1" customFormat="false" ht="31.5" hidden="false" customHeight="tru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8" t="s">
        <v>64</v>
      </c>
    </row>
    <row r="2" customFormat="false" ht="94.5" hidden="false" customHeight="true" outlineLevel="0" collapsed="false">
      <c r="A2" s="3" t="s">
        <v>65</v>
      </c>
      <c r="B2" s="2" t="s">
        <v>66</v>
      </c>
      <c r="C2" s="3" t="s">
        <v>67</v>
      </c>
      <c r="D2" s="3" t="s">
        <v>68</v>
      </c>
      <c r="E2" s="2" t="s">
        <v>69</v>
      </c>
      <c r="F2" s="3" t="s">
        <v>70</v>
      </c>
    </row>
    <row r="3" customFormat="false" ht="94.5" hidden="false" customHeight="true" outlineLevel="0" collapsed="false">
      <c r="A3" s="3" t="s">
        <v>71</v>
      </c>
      <c r="B3" s="2" t="s">
        <v>72</v>
      </c>
      <c r="C3" s="3" t="s">
        <v>73</v>
      </c>
      <c r="D3" s="3" t="s">
        <v>74</v>
      </c>
      <c r="E3" s="3" t="s">
        <v>75</v>
      </c>
      <c r="F3" s="3" t="s">
        <v>76</v>
      </c>
    </row>
    <row r="4" customFormat="false" ht="94.5" hidden="false" customHeight="true" outlineLevel="0" collapsed="false">
      <c r="A4" s="3" t="s">
        <v>77</v>
      </c>
      <c r="B4" s="2" t="s">
        <v>72</v>
      </c>
      <c r="C4" s="3" t="s">
        <v>78</v>
      </c>
      <c r="D4" s="3" t="s">
        <v>74</v>
      </c>
      <c r="E4" s="3" t="s">
        <v>79</v>
      </c>
      <c r="F4" s="3" t="s">
        <v>80</v>
      </c>
    </row>
    <row r="5" customFormat="false" ht="94.5" hidden="false" customHeight="true" outlineLevel="0" collapsed="false">
      <c r="A5" s="3" t="s">
        <v>81</v>
      </c>
      <c r="B5" s="2" t="s">
        <v>72</v>
      </c>
      <c r="C5" s="3" t="s">
        <v>78</v>
      </c>
      <c r="D5" s="3" t="s">
        <v>74</v>
      </c>
      <c r="E5" s="3" t="s">
        <v>82</v>
      </c>
      <c r="F5" s="3" t="s">
        <v>80</v>
      </c>
    </row>
    <row r="6" customFormat="false" ht="94.5" hidden="false" customHeight="true" outlineLevel="0" collapsed="false">
      <c r="A6" s="3" t="s">
        <v>83</v>
      </c>
      <c r="B6" s="2" t="s">
        <v>84</v>
      </c>
      <c r="C6" s="3" t="s">
        <v>85</v>
      </c>
      <c r="D6" s="3" t="s">
        <v>86</v>
      </c>
      <c r="E6" s="2" t="s">
        <v>87</v>
      </c>
      <c r="F6" s="3" t="s">
        <v>88</v>
      </c>
    </row>
    <row r="7" customFormat="false" ht="94.5" hidden="false" customHeight="true" outlineLevel="0" collapsed="false">
      <c r="A7" s="3" t="s">
        <v>89</v>
      </c>
      <c r="B7" s="2" t="s">
        <v>84</v>
      </c>
      <c r="C7" s="3" t="s">
        <v>90</v>
      </c>
      <c r="D7" s="3" t="s">
        <v>91</v>
      </c>
      <c r="E7" s="2" t="s">
        <v>92</v>
      </c>
      <c r="F7" s="3" t="s">
        <v>93</v>
      </c>
    </row>
    <row r="8" customFormat="false" ht="94.5" hidden="false" customHeight="true" outlineLevel="0" collapsed="false">
      <c r="A8" s="3" t="s">
        <v>94</v>
      </c>
      <c r="B8" s="2" t="s">
        <v>95</v>
      </c>
      <c r="C8" s="3" t="s">
        <v>96</v>
      </c>
      <c r="D8" s="3" t="s">
        <v>97</v>
      </c>
      <c r="E8" s="2" t="s">
        <v>98</v>
      </c>
      <c r="F8" s="3" t="s">
        <v>99</v>
      </c>
    </row>
    <row r="9" customFormat="false" ht="94.5" hidden="false" customHeight="true" outlineLevel="0" collapsed="false">
      <c r="A9" s="3" t="s">
        <v>100</v>
      </c>
      <c r="B9" s="2" t="s">
        <v>101</v>
      </c>
      <c r="C9" s="2" t="s">
        <v>102</v>
      </c>
      <c r="D9" s="3" t="s">
        <v>103</v>
      </c>
      <c r="E9" s="2" t="s">
        <v>104</v>
      </c>
      <c r="F9" s="3" t="s">
        <v>105</v>
      </c>
    </row>
    <row r="10" customFormat="false" ht="94.5" hidden="false" customHeight="true" outlineLevel="0" collapsed="false">
      <c r="A10" s="3" t="s">
        <v>106</v>
      </c>
      <c r="B10" s="2" t="s">
        <v>107</v>
      </c>
      <c r="C10" s="2" t="s">
        <v>108</v>
      </c>
      <c r="D10" s="3" t="s">
        <v>109</v>
      </c>
      <c r="E10" s="3" t="s">
        <v>110</v>
      </c>
      <c r="F10" s="3" t="s">
        <v>111</v>
      </c>
    </row>
    <row r="11" customFormat="false" ht="94.5" hidden="false" customHeight="true" outlineLevel="0" collapsed="false">
      <c r="A11" s="3" t="s">
        <v>112</v>
      </c>
      <c r="B11" s="2" t="s">
        <v>113</v>
      </c>
      <c r="C11" s="3" t="s">
        <v>114</v>
      </c>
      <c r="D11" s="3" t="s">
        <v>115</v>
      </c>
      <c r="E11" s="2" t="s">
        <v>116</v>
      </c>
      <c r="F11" s="3" t="s">
        <v>117</v>
      </c>
    </row>
  </sheetData>
  <autoFilter ref="A1:F11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31.5" hidden="false" customHeight="true" outlineLevel="0" collapsed="false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8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</row>
    <row r="2" customFormat="false" ht="15" hidden="false" customHeight="false" outlineLevel="0" collapsed="false">
      <c r="A2" s="2" t="s">
        <v>130</v>
      </c>
      <c r="B2" s="2" t="s">
        <v>131</v>
      </c>
      <c r="C2" s="3" t="s">
        <v>132</v>
      </c>
      <c r="D2" s="3" t="s">
        <v>133</v>
      </c>
      <c r="E2" s="9" t="n">
        <v>34000</v>
      </c>
      <c r="F2" s="9" t="n">
        <v>23000</v>
      </c>
      <c r="G2" s="9" t="n">
        <v>11000</v>
      </c>
      <c r="H2" s="9" t="n">
        <v>5</v>
      </c>
      <c r="I2" s="10" t="n">
        <v>0.033</v>
      </c>
      <c r="J2" s="9" t="n">
        <v>49703</v>
      </c>
      <c r="K2" s="9" t="n">
        <v>1.52</v>
      </c>
      <c r="L2" s="2" t="s">
        <v>134</v>
      </c>
    </row>
    <row r="3" customFormat="false" ht="15" hidden="false" customHeight="false" outlineLevel="0" collapsed="false">
      <c r="A3" s="2" t="s">
        <v>135</v>
      </c>
      <c r="B3" s="2" t="s">
        <v>136</v>
      </c>
      <c r="C3" s="3" t="s">
        <v>137</v>
      </c>
      <c r="D3" s="3" t="s">
        <v>138</v>
      </c>
      <c r="E3" s="9" t="n">
        <v>34000</v>
      </c>
      <c r="F3" s="9" t="n">
        <v>24400</v>
      </c>
      <c r="G3" s="9" t="n">
        <v>9600</v>
      </c>
      <c r="H3" s="9" t="n">
        <v>10</v>
      </c>
      <c r="I3" s="10" t="n">
        <v>0.036</v>
      </c>
      <c r="J3" s="9" t="n">
        <v>51502.9</v>
      </c>
      <c r="K3" s="9" t="n">
        <v>1.47</v>
      </c>
      <c r="L3" s="2" t="s">
        <v>139</v>
      </c>
    </row>
    <row r="4" customFormat="false" ht="15" hidden="false" customHeight="false" outlineLevel="0" collapsed="false">
      <c r="A4" s="2" t="s">
        <v>140</v>
      </c>
      <c r="B4" s="2" t="s">
        <v>136</v>
      </c>
      <c r="C4" s="3" t="s">
        <v>137</v>
      </c>
      <c r="D4" s="3" t="s">
        <v>138</v>
      </c>
      <c r="E4" s="9" t="n">
        <v>34000</v>
      </c>
      <c r="F4" s="9" t="n">
        <v>24400</v>
      </c>
      <c r="G4" s="9" t="n">
        <v>9600</v>
      </c>
      <c r="H4" s="9" t="n">
        <v>10</v>
      </c>
      <c r="I4" s="10" t="n">
        <v>0.036</v>
      </c>
      <c r="J4" s="9" t="n">
        <v>51502.9</v>
      </c>
      <c r="K4" s="9" t="n">
        <v>1.47</v>
      </c>
      <c r="L4" s="2" t="s">
        <v>141</v>
      </c>
    </row>
    <row r="5" customFormat="false" ht="15" hidden="false" customHeight="false" outlineLevel="0" collapsed="false">
      <c r="A5" s="2" t="s">
        <v>142</v>
      </c>
      <c r="B5" s="2" t="s">
        <v>143</v>
      </c>
      <c r="C5" s="3" t="s">
        <v>67</v>
      </c>
      <c r="D5" s="3" t="s">
        <v>67</v>
      </c>
      <c r="E5" s="9" t="n">
        <v>6400</v>
      </c>
      <c r="F5" s="2"/>
      <c r="G5" s="2"/>
      <c r="H5" s="2"/>
      <c r="I5" s="11"/>
      <c r="J5" s="2"/>
      <c r="K5" s="2"/>
      <c r="L5" s="3" t="s">
        <v>144</v>
      </c>
    </row>
  </sheetData>
  <autoFilter ref="A1:L5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</cols>
  <sheetData>
    <row r="1" customFormat="false" ht="31.5" hidden="false" customHeight="true" outlineLevel="0" collapsed="false">
      <c r="A1" s="1" t="s">
        <v>145</v>
      </c>
      <c r="B1" s="1" t="s">
        <v>146</v>
      </c>
      <c r="C1" s="1" t="s">
        <v>147</v>
      </c>
    </row>
    <row r="2" customFormat="false" ht="15" hidden="false" customHeight="false" outlineLevel="0" collapsed="false">
      <c r="A2" s="2" t="s">
        <v>148</v>
      </c>
      <c r="B2" s="9" t="n">
        <v>7500</v>
      </c>
      <c r="C2" s="2" t="s">
        <v>149</v>
      </c>
    </row>
    <row r="3" customFormat="false" ht="15" hidden="false" customHeight="false" outlineLevel="0" collapsed="false">
      <c r="A3" s="2" t="s">
        <v>150</v>
      </c>
      <c r="B3" s="9" t="n">
        <v>850</v>
      </c>
      <c r="C3" s="2" t="s">
        <v>149</v>
      </c>
    </row>
    <row r="4" customFormat="false" ht="15" hidden="false" customHeight="false" outlineLevel="0" collapsed="false">
      <c r="A4" s="2" t="s">
        <v>151</v>
      </c>
      <c r="B4" s="9" t="n">
        <v>0.1</v>
      </c>
      <c r="C4" s="3" t="s">
        <v>152</v>
      </c>
    </row>
    <row r="5" customFormat="false" ht="15" hidden="false" customHeight="false" outlineLevel="0" collapsed="false">
      <c r="A5" s="2" t="s">
        <v>153</v>
      </c>
      <c r="B5" s="9" t="n">
        <v>0.05</v>
      </c>
      <c r="C5" s="3" t="s">
        <v>154</v>
      </c>
    </row>
    <row r="6" customFormat="false" ht="15" hidden="false" customHeight="false" outlineLevel="0" collapsed="false">
      <c r="A6" s="2" t="s">
        <v>155</v>
      </c>
      <c r="B6" s="9" t="n">
        <v>0.02</v>
      </c>
      <c r="C6" s="3" t="s">
        <v>156</v>
      </c>
    </row>
    <row r="7" customFormat="false" ht="15" hidden="false" customHeight="false" outlineLevel="0" collapsed="false">
      <c r="A7" s="2" t="s">
        <v>157</v>
      </c>
      <c r="B7" s="9" t="n">
        <v>600</v>
      </c>
      <c r="C7" s="2" t="s">
        <v>149</v>
      </c>
    </row>
    <row r="8" customFormat="false" ht="15" hidden="false" customHeight="false" outlineLevel="0" collapsed="false">
      <c r="A8" s="2" t="s">
        <v>158</v>
      </c>
      <c r="B8" s="9" t="n">
        <v>365</v>
      </c>
      <c r="C8" s="2" t="s">
        <v>159</v>
      </c>
    </row>
    <row r="9" customFormat="false" ht="15" hidden="false" customHeight="false" outlineLevel="0" collapsed="false">
      <c r="A9" s="2" t="s">
        <v>160</v>
      </c>
      <c r="B9" s="9" t="n">
        <v>1.5</v>
      </c>
      <c r="C9" s="2" t="s">
        <v>161</v>
      </c>
    </row>
    <row r="10" customFormat="false" ht="15" hidden="false" customHeight="false" outlineLevel="0" collapsed="false">
      <c r="A10" s="2" t="s">
        <v>162</v>
      </c>
      <c r="B10" s="9" t="n">
        <v>2</v>
      </c>
      <c r="C10" s="2" t="s">
        <v>149</v>
      </c>
    </row>
    <row r="11" customFormat="false" ht="15" hidden="false" customHeight="false" outlineLevel="0" collapsed="false">
      <c r="A11" s="2" t="s">
        <v>163</v>
      </c>
      <c r="B11" s="9" t="n">
        <v>3</v>
      </c>
      <c r="C11" s="2" t="s">
        <v>149</v>
      </c>
    </row>
    <row r="12" customFormat="false" ht="15" hidden="false" customHeight="false" outlineLevel="0" collapsed="false">
      <c r="A12" s="2" t="s">
        <v>164</v>
      </c>
      <c r="B12" s="9" t="n">
        <v>0.8</v>
      </c>
      <c r="C12" s="2" t="s">
        <v>149</v>
      </c>
    </row>
    <row r="13" customFormat="false" ht="15" hidden="false" customHeight="false" outlineLevel="0" collapsed="false">
      <c r="A13" s="2" t="s">
        <v>165</v>
      </c>
      <c r="B13" s="9" t="n">
        <v>0.95</v>
      </c>
      <c r="C13" s="2" t="s">
        <v>149</v>
      </c>
    </row>
    <row r="14" customFormat="false" ht="15" hidden="false" customHeight="false" outlineLevel="0" collapsed="false">
      <c r="A14" s="2" t="s">
        <v>166</v>
      </c>
      <c r="B14" s="9" t="n">
        <v>1</v>
      </c>
      <c r="C14" s="2" t="s">
        <v>167</v>
      </c>
    </row>
    <row r="15" customFormat="false" ht="15" hidden="false" customHeight="false" outlineLevel="0" collapsed="false">
      <c r="A15" s="2" t="s">
        <v>168</v>
      </c>
      <c r="B15" s="9" t="n">
        <v>9</v>
      </c>
      <c r="C15" s="2" t="s">
        <v>169</v>
      </c>
    </row>
    <row r="16" customFormat="false" ht="15" hidden="false" customHeight="false" outlineLevel="0" collapsed="false">
      <c r="A16" s="2" t="s">
        <v>170</v>
      </c>
      <c r="B16" s="9" t="n">
        <v>1</v>
      </c>
      <c r="C16" s="2" t="s">
        <v>169</v>
      </c>
    </row>
    <row r="17" customFormat="false" ht="15" hidden="false" customHeight="false" outlineLevel="0" collapsed="false">
      <c r="A17" s="2" t="s">
        <v>171</v>
      </c>
      <c r="B17" s="9" t="n">
        <v>0.9</v>
      </c>
      <c r="C17" s="2" t="s">
        <v>169</v>
      </c>
    </row>
    <row r="18" customFormat="false" ht="15" hidden="false" customHeight="false" outlineLevel="0" collapsed="false">
      <c r="A18" s="2" t="s">
        <v>172</v>
      </c>
      <c r="B18" s="9" t="n">
        <v>0.95</v>
      </c>
      <c r="C18" s="2" t="s">
        <v>169</v>
      </c>
    </row>
    <row r="19" customFormat="false" ht="15" hidden="false" customHeight="false" outlineLevel="0" collapsed="false">
      <c r="A19" s="2" t="s">
        <v>173</v>
      </c>
      <c r="B19" s="9" t="n">
        <v>10</v>
      </c>
      <c r="C19" s="2" t="s">
        <v>174</v>
      </c>
    </row>
    <row r="20" customFormat="false" ht="15" hidden="false" customHeight="false" outlineLevel="0" collapsed="false">
      <c r="A20" s="2" t="s">
        <v>175</v>
      </c>
      <c r="B20" s="9" t="n">
        <v>0.5</v>
      </c>
      <c r="C20" s="2" t="s">
        <v>176</v>
      </c>
    </row>
    <row r="21" customFormat="false" ht="15" hidden="false" customHeight="false" outlineLevel="0" collapsed="false">
      <c r="A21" s="2" t="s">
        <v>177</v>
      </c>
      <c r="B21" s="9" t="n">
        <v>0.2</v>
      </c>
      <c r="C21" s="2" t="s">
        <v>178</v>
      </c>
    </row>
    <row r="22" customFormat="false" ht="15" hidden="false" customHeight="false" outlineLevel="0" collapsed="false">
      <c r="A22" s="2" t="s">
        <v>179</v>
      </c>
      <c r="B22" s="9" t="n">
        <v>1.2</v>
      </c>
      <c r="C22" s="2" t="s">
        <v>169</v>
      </c>
    </row>
    <row r="23" customFormat="false" ht="15" hidden="false" customHeight="false" outlineLevel="0" collapsed="false">
      <c r="A23" s="2" t="s">
        <v>180</v>
      </c>
      <c r="B23" s="9" t="n">
        <v>51</v>
      </c>
      <c r="C23" s="2" t="s">
        <v>169</v>
      </c>
    </row>
    <row r="24" customFormat="false" ht="15" hidden="false" customHeight="false" outlineLevel="0" collapsed="false">
      <c r="A24" s="2" t="s">
        <v>181</v>
      </c>
      <c r="B24" s="9" t="n">
        <v>0.8</v>
      </c>
      <c r="C24" s="2" t="s">
        <v>182</v>
      </c>
    </row>
    <row r="25" customFormat="false" ht="15" hidden="false" customHeight="false" outlineLevel="0" collapsed="false">
      <c r="A25" s="2" t="s">
        <v>183</v>
      </c>
      <c r="B25" s="9" t="n">
        <v>0.25</v>
      </c>
      <c r="C25" s="2" t="s">
        <v>184</v>
      </c>
    </row>
    <row r="26" customFormat="false" ht="15" hidden="false" customHeight="false" outlineLevel="0" collapsed="false">
      <c r="A26" s="2" t="s">
        <v>185</v>
      </c>
      <c r="B26" s="9" t="n">
        <v>0.1</v>
      </c>
      <c r="C26" s="2" t="s">
        <v>169</v>
      </c>
    </row>
    <row r="27" customFormat="false" ht="15" hidden="false" customHeight="false" outlineLevel="0" collapsed="false">
      <c r="A27" s="2" t="s">
        <v>186</v>
      </c>
      <c r="B27" s="9" t="n">
        <v>5600</v>
      </c>
      <c r="C27" s="2" t="s">
        <v>187</v>
      </c>
    </row>
    <row r="28" customFormat="false" ht="15" hidden="false" customHeight="false" outlineLevel="0" collapsed="false">
      <c r="A28" s="2" t="s">
        <v>188</v>
      </c>
      <c r="B28" s="9" t="n">
        <v>170</v>
      </c>
      <c r="C28" s="2" t="s">
        <v>189</v>
      </c>
    </row>
    <row r="29" customFormat="false" ht="15" hidden="false" customHeight="false" outlineLevel="0" collapsed="false">
      <c r="A29" s="2" t="s">
        <v>190</v>
      </c>
      <c r="B29" s="9" t="n">
        <v>1470</v>
      </c>
      <c r="C29" s="2" t="s">
        <v>189</v>
      </c>
    </row>
    <row r="30" customFormat="false" ht="15" hidden="false" customHeight="false" outlineLevel="0" collapsed="false">
      <c r="A30" s="2" t="s">
        <v>191</v>
      </c>
      <c r="B30" s="9" t="n">
        <v>60</v>
      </c>
      <c r="C30" s="2" t="s">
        <v>189</v>
      </c>
    </row>
    <row r="31" customFormat="false" ht="15" hidden="false" customHeight="false" outlineLevel="0" collapsed="false">
      <c r="A31" s="2" t="s">
        <v>192</v>
      </c>
      <c r="B31" s="9" t="n">
        <v>35</v>
      </c>
      <c r="C31" s="2" t="s">
        <v>189</v>
      </c>
    </row>
    <row r="32" customFormat="false" ht="15" hidden="false" customHeight="false" outlineLevel="0" collapsed="false">
      <c r="A32" s="2" t="s">
        <v>193</v>
      </c>
      <c r="B32" s="9" t="n">
        <v>20</v>
      </c>
      <c r="C32" s="2" t="s">
        <v>189</v>
      </c>
    </row>
    <row r="33" customFormat="false" ht="15" hidden="false" customHeight="false" outlineLevel="0" collapsed="false">
      <c r="A33" s="2" t="s">
        <v>194</v>
      </c>
      <c r="B33" s="9" t="n">
        <v>0.03</v>
      </c>
      <c r="C33" s="2" t="s">
        <v>195</v>
      </c>
    </row>
  </sheetData>
  <autoFilter ref="A1:C33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8"/>
  </cols>
  <sheetData>
    <row r="1" customFormat="false" ht="31.5" hidden="false" customHeight="true" outlineLevel="0" collapsed="false">
      <c r="A1" s="1" t="s">
        <v>8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</row>
    <row r="2" customFormat="false" ht="15" hidden="false" customHeight="false" outlineLevel="0" collapsed="false">
      <c r="A2" s="12" t="n">
        <v>1</v>
      </c>
      <c r="B2" s="12" t="n">
        <v>2024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4" t="n">
        <f aca="false">SUM(C2:F2)</f>
        <v>0</v>
      </c>
      <c r="I2" s="4" t="n">
        <f aca="false">H2-G2</f>
        <v>0</v>
      </c>
      <c r="J2" s="2" t="s">
        <v>205</v>
      </c>
    </row>
    <row r="3" customFormat="false" ht="15" hidden="false" customHeight="false" outlineLevel="0" collapsed="false">
      <c r="A3" s="12" t="n">
        <v>2</v>
      </c>
      <c r="B3" s="12" t="n">
        <v>2025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4" t="n">
        <f aca="false">SUM(C3:F3)</f>
        <v>0</v>
      </c>
      <c r="I3" s="4" t="n">
        <f aca="false">H3-G3</f>
        <v>0</v>
      </c>
      <c r="J3" s="2" t="s">
        <v>205</v>
      </c>
    </row>
    <row r="4" customFormat="false" ht="15" hidden="false" customHeight="false" outlineLevel="0" collapsed="false">
      <c r="A4" s="12" t="n">
        <v>3</v>
      </c>
      <c r="B4" s="12" t="n">
        <v>2026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4" t="n">
        <f aca="false">SUM(C4:F4)</f>
        <v>0</v>
      </c>
      <c r="I4" s="4" t="n">
        <f aca="false">H4-G4</f>
        <v>0</v>
      </c>
      <c r="J4" s="2" t="s">
        <v>205</v>
      </c>
    </row>
    <row r="5" customFormat="false" ht="15" hidden="false" customHeight="false" outlineLevel="0" collapsed="false">
      <c r="A5" s="12" t="n">
        <v>4</v>
      </c>
      <c r="B5" s="12" t="n">
        <v>2027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4" t="n">
        <f aca="false">SUM(C5:F5)</f>
        <v>0</v>
      </c>
      <c r="I5" s="4" t="n">
        <f aca="false">H5-G5</f>
        <v>0</v>
      </c>
      <c r="J5" s="2" t="s">
        <v>205</v>
      </c>
    </row>
    <row r="6" customFormat="false" ht="15" hidden="false" customHeight="false" outlineLevel="0" collapsed="false">
      <c r="A6" s="12" t="n">
        <v>5</v>
      </c>
      <c r="B6" s="12" t="n">
        <v>2028</v>
      </c>
      <c r="C6" s="9" t="n">
        <v>7500</v>
      </c>
      <c r="D6" s="9" t="n">
        <v>850</v>
      </c>
      <c r="E6" s="9" t="n">
        <v>670.14</v>
      </c>
      <c r="F6" s="9" t="n">
        <v>214.44</v>
      </c>
      <c r="G6" s="9" t="n">
        <v>9234.58</v>
      </c>
      <c r="H6" s="4" t="n">
        <f aca="false">SUM(C6:F6)</f>
        <v>9234.58</v>
      </c>
      <c r="I6" s="4" t="n">
        <f aca="false">H6-G6</f>
        <v>0</v>
      </c>
      <c r="J6" s="2" t="s">
        <v>205</v>
      </c>
    </row>
    <row r="7" customFormat="false" ht="15" hidden="false" customHeight="false" outlineLevel="0" collapsed="false">
      <c r="A7" s="12" t="n">
        <v>6</v>
      </c>
      <c r="B7" s="12" t="n">
        <v>2029</v>
      </c>
      <c r="C7" s="9" t="n">
        <v>8250</v>
      </c>
      <c r="D7" s="9" t="n">
        <v>935</v>
      </c>
      <c r="E7" s="9" t="n">
        <v>670.14</v>
      </c>
      <c r="F7" s="9" t="n">
        <v>268.05</v>
      </c>
      <c r="G7" s="9" t="n">
        <v>10123.19</v>
      </c>
      <c r="H7" s="4" t="n">
        <f aca="false">SUM(C7:F7)</f>
        <v>10123.19</v>
      </c>
      <c r="I7" s="4" t="n">
        <f aca="false">H7-G7</f>
        <v>0</v>
      </c>
      <c r="J7" s="2" t="s">
        <v>205</v>
      </c>
    </row>
    <row r="8" customFormat="false" ht="15" hidden="false" customHeight="false" outlineLevel="0" collapsed="false">
      <c r="A8" s="12" t="n">
        <v>7</v>
      </c>
      <c r="B8" s="12" t="n">
        <v>2030</v>
      </c>
      <c r="C8" s="9" t="n">
        <v>9075</v>
      </c>
      <c r="D8" s="9" t="n">
        <v>1028.5</v>
      </c>
      <c r="E8" s="9" t="n">
        <v>670.14</v>
      </c>
      <c r="F8" s="9" t="n">
        <v>268.05</v>
      </c>
      <c r="G8" s="9" t="n">
        <v>11041.69</v>
      </c>
      <c r="H8" s="4" t="n">
        <f aca="false">SUM(C8:F8)</f>
        <v>11041.69</v>
      </c>
      <c r="I8" s="4" t="n">
        <f aca="false">H8-G8</f>
        <v>0</v>
      </c>
      <c r="J8" s="2" t="s">
        <v>205</v>
      </c>
    </row>
    <row r="9" customFormat="false" ht="15" hidden="false" customHeight="false" outlineLevel="0" collapsed="false">
      <c r="A9" s="12" t="n">
        <v>8</v>
      </c>
      <c r="B9" s="12" t="n">
        <v>2031</v>
      </c>
      <c r="C9" s="9" t="n">
        <v>9982.5</v>
      </c>
      <c r="D9" s="9" t="n">
        <v>1131.35</v>
      </c>
      <c r="E9" s="9" t="n">
        <v>670.14</v>
      </c>
      <c r="F9" s="9" t="n">
        <v>268.05</v>
      </c>
      <c r="G9" s="9" t="n">
        <v>12052.04</v>
      </c>
      <c r="H9" s="4" t="n">
        <f aca="false">SUM(C9:F9)</f>
        <v>12052.04</v>
      </c>
      <c r="I9" s="4" t="n">
        <f aca="false">H9-G9</f>
        <v>0</v>
      </c>
      <c r="J9" s="2" t="s">
        <v>205</v>
      </c>
    </row>
    <row r="10" customFormat="false" ht="15" hidden="false" customHeight="false" outlineLevel="0" collapsed="false">
      <c r="A10" s="12" t="n">
        <v>9</v>
      </c>
      <c r="B10" s="12" t="n">
        <v>2032</v>
      </c>
      <c r="C10" s="9" t="n">
        <v>10980.75</v>
      </c>
      <c r="D10" s="9" t="n">
        <v>1244.49</v>
      </c>
      <c r="E10" s="9" t="n">
        <v>670.14</v>
      </c>
      <c r="F10" s="9" t="n">
        <v>268.05</v>
      </c>
      <c r="G10" s="9" t="n">
        <v>13163.43</v>
      </c>
      <c r="H10" s="4" t="n">
        <f aca="false">SUM(C10:F10)</f>
        <v>13163.43</v>
      </c>
      <c r="I10" s="4" t="n">
        <f aca="false">H10-G10</f>
        <v>0</v>
      </c>
      <c r="J10" s="2" t="s">
        <v>205</v>
      </c>
    </row>
    <row r="11" customFormat="false" ht="15" hidden="false" customHeight="false" outlineLevel="0" collapsed="false">
      <c r="A11" s="12" t="n">
        <v>10</v>
      </c>
      <c r="B11" s="12" t="n">
        <v>2033</v>
      </c>
      <c r="C11" s="9" t="n">
        <v>11529.79</v>
      </c>
      <c r="D11" s="9" t="n">
        <v>1306.71</v>
      </c>
      <c r="E11" s="9" t="n">
        <v>1008.5</v>
      </c>
      <c r="F11" s="9" t="n">
        <v>294.86</v>
      </c>
      <c r="G11" s="9" t="n">
        <v>14139.86</v>
      </c>
      <c r="H11" s="4" t="n">
        <f aca="false">SUM(C11:F11)</f>
        <v>14139.86</v>
      </c>
      <c r="I11" s="4" t="n">
        <f aca="false">H11-G11</f>
        <v>0</v>
      </c>
      <c r="J11" s="2" t="s">
        <v>205</v>
      </c>
    </row>
    <row r="12" customFormat="false" ht="15" hidden="false" customHeight="false" outlineLevel="0" collapsed="false">
      <c r="A12" s="12" t="n">
        <v>11</v>
      </c>
      <c r="B12" s="12" t="n">
        <v>2034</v>
      </c>
      <c r="C12" s="9" t="n">
        <v>12106.28</v>
      </c>
      <c r="D12" s="9" t="n">
        <v>1372.05</v>
      </c>
      <c r="E12" s="9" t="n">
        <v>1008.5</v>
      </c>
      <c r="F12" s="9" t="n">
        <v>294.86</v>
      </c>
      <c r="G12" s="9" t="n">
        <v>14781.69</v>
      </c>
      <c r="H12" s="4" t="n">
        <f aca="false">SUM(C12:F12)</f>
        <v>14781.69</v>
      </c>
      <c r="I12" s="4" t="n">
        <f aca="false">H12-G12</f>
        <v>0</v>
      </c>
      <c r="J12" s="2" t="s">
        <v>205</v>
      </c>
    </row>
    <row r="13" customFormat="false" ht="15" hidden="false" customHeight="false" outlineLevel="0" collapsed="false">
      <c r="A13" s="12" t="n">
        <v>12</v>
      </c>
      <c r="B13" s="12" t="n">
        <v>2035</v>
      </c>
      <c r="C13" s="9" t="n">
        <v>12711.59</v>
      </c>
      <c r="D13" s="9" t="n">
        <v>1440.65</v>
      </c>
      <c r="E13" s="9" t="n">
        <v>1008.5</v>
      </c>
      <c r="F13" s="9" t="n">
        <v>294.86</v>
      </c>
      <c r="G13" s="9" t="n">
        <v>15455.6</v>
      </c>
      <c r="H13" s="4" t="n">
        <f aca="false">SUM(C13:F13)</f>
        <v>15455.6</v>
      </c>
      <c r="I13" s="4" t="n">
        <f aca="false">H13-G13</f>
        <v>0</v>
      </c>
      <c r="J13" s="2" t="s">
        <v>205</v>
      </c>
    </row>
    <row r="14" customFormat="false" ht="15" hidden="false" customHeight="false" outlineLevel="0" collapsed="false">
      <c r="A14" s="12" t="n">
        <v>13</v>
      </c>
      <c r="B14" s="12" t="n">
        <v>2036</v>
      </c>
      <c r="C14" s="9" t="n">
        <v>13347.17</v>
      </c>
      <c r="D14" s="9" t="n">
        <v>1512.68</v>
      </c>
      <c r="E14" s="9" t="n">
        <v>1008.5</v>
      </c>
      <c r="F14" s="9" t="n">
        <v>294.86</v>
      </c>
      <c r="G14" s="9" t="n">
        <v>16163.21</v>
      </c>
      <c r="H14" s="4" t="n">
        <f aca="false">SUM(C14:F14)</f>
        <v>16163.21</v>
      </c>
      <c r="I14" s="4" t="n">
        <f aca="false">H14-G14</f>
        <v>0</v>
      </c>
      <c r="J14" s="2" t="s">
        <v>205</v>
      </c>
    </row>
    <row r="15" customFormat="false" ht="15" hidden="false" customHeight="false" outlineLevel="0" collapsed="false">
      <c r="A15" s="12" t="n">
        <v>14</v>
      </c>
      <c r="B15" s="12" t="n">
        <v>2037</v>
      </c>
      <c r="C15" s="9" t="n">
        <v>14014.53</v>
      </c>
      <c r="D15" s="9" t="n">
        <v>1588.31</v>
      </c>
      <c r="E15" s="9" t="n">
        <v>1008.5</v>
      </c>
      <c r="F15" s="9" t="n">
        <v>294.86</v>
      </c>
      <c r="G15" s="9" t="n">
        <v>16906.2</v>
      </c>
      <c r="H15" s="4" t="n">
        <f aca="false">SUM(C15:F15)</f>
        <v>16906.2</v>
      </c>
      <c r="I15" s="4" t="n">
        <f aca="false">H15-G15</f>
        <v>0</v>
      </c>
      <c r="J15" s="2" t="s">
        <v>205</v>
      </c>
    </row>
    <row r="16" customFormat="false" ht="15" hidden="false" customHeight="false" outlineLevel="0" collapsed="false">
      <c r="A16" s="12" t="n">
        <v>15</v>
      </c>
      <c r="B16" s="12" t="n">
        <v>2038</v>
      </c>
      <c r="C16" s="9" t="n">
        <v>14294.82</v>
      </c>
      <c r="D16" s="9" t="n">
        <v>1620.08</v>
      </c>
      <c r="E16" s="9" t="n">
        <v>1307.43</v>
      </c>
      <c r="F16" s="9" t="n">
        <v>324.35</v>
      </c>
      <c r="G16" s="9" t="n">
        <v>17546.68</v>
      </c>
      <c r="H16" s="4" t="n">
        <f aca="false">SUM(C16:F16)</f>
        <v>17546.68</v>
      </c>
      <c r="I16" s="4" t="n">
        <f aca="false">H16-G16</f>
        <v>0</v>
      </c>
      <c r="J16" s="2" t="s">
        <v>205</v>
      </c>
    </row>
    <row r="17" customFormat="false" ht="15" hidden="false" customHeight="false" outlineLevel="0" collapsed="false">
      <c r="A17" s="12" t="n">
        <v>16</v>
      </c>
      <c r="B17" s="12" t="n">
        <v>2039</v>
      </c>
      <c r="C17" s="9" t="n">
        <v>14580.72</v>
      </c>
      <c r="D17" s="9" t="n">
        <v>1652.48</v>
      </c>
      <c r="E17" s="9" t="n">
        <v>1307.43</v>
      </c>
      <c r="F17" s="9" t="n">
        <v>324.35</v>
      </c>
      <c r="G17" s="9" t="n">
        <v>17864.98</v>
      </c>
      <c r="H17" s="4" t="n">
        <f aca="false">SUM(C17:F17)</f>
        <v>17864.98</v>
      </c>
      <c r="I17" s="4" t="n">
        <f aca="false">H17-G17</f>
        <v>0</v>
      </c>
      <c r="J17" s="2" t="s">
        <v>205</v>
      </c>
    </row>
    <row r="18" customFormat="false" ht="15" hidden="false" customHeight="false" outlineLevel="0" collapsed="false">
      <c r="A18" s="12" t="n">
        <v>17</v>
      </c>
      <c r="B18" s="12" t="n">
        <v>2040</v>
      </c>
      <c r="C18" s="9" t="n">
        <v>14872.33</v>
      </c>
      <c r="D18" s="9" t="n">
        <v>1685.53</v>
      </c>
      <c r="E18" s="9" t="n">
        <v>1307.43</v>
      </c>
      <c r="F18" s="9" t="n">
        <v>324.35</v>
      </c>
      <c r="G18" s="9" t="n">
        <v>18189.64</v>
      </c>
      <c r="H18" s="4" t="n">
        <f aca="false">SUM(C18:F18)</f>
        <v>18189.64</v>
      </c>
      <c r="I18" s="4" t="n">
        <f aca="false">H18-G18</f>
        <v>0</v>
      </c>
      <c r="J18" s="2" t="s">
        <v>205</v>
      </c>
    </row>
    <row r="19" customFormat="false" ht="15" hidden="false" customHeight="false" outlineLevel="0" collapsed="false">
      <c r="A19" s="12" t="n">
        <v>18</v>
      </c>
      <c r="B19" s="12" t="n">
        <v>2041</v>
      </c>
      <c r="C19" s="9" t="n">
        <v>15169.78</v>
      </c>
      <c r="D19" s="9" t="n">
        <v>1719.24</v>
      </c>
      <c r="E19" s="9" t="n">
        <v>1307.43</v>
      </c>
      <c r="F19" s="9" t="n">
        <v>324.35</v>
      </c>
      <c r="G19" s="9" t="n">
        <v>18520.8</v>
      </c>
      <c r="H19" s="4" t="n">
        <f aca="false">SUM(C19:F19)</f>
        <v>18520.8</v>
      </c>
      <c r="I19" s="4" t="n">
        <f aca="false">H19-G19</f>
        <v>0</v>
      </c>
      <c r="J19" s="2" t="s">
        <v>205</v>
      </c>
    </row>
    <row r="20" customFormat="false" ht="15" hidden="false" customHeight="false" outlineLevel="0" collapsed="false">
      <c r="A20" s="13" t="s">
        <v>206</v>
      </c>
      <c r="B20" s="13"/>
      <c r="C20" s="4" t="n">
        <f aca="false">SUM(C2:C19)</f>
        <v>168415.26</v>
      </c>
      <c r="D20" s="4" t="n">
        <f aca="false">SUM(D2:D19)</f>
        <v>19087.07</v>
      </c>
      <c r="E20" s="4" t="n">
        <f aca="false">SUM(E2:E19)</f>
        <v>13622.92</v>
      </c>
      <c r="F20" s="4" t="n">
        <f aca="false">SUM(F2:F19)</f>
        <v>4058.34</v>
      </c>
      <c r="G20" s="4" t="n">
        <f aca="false">SUM(G2:G19)</f>
        <v>205183.59</v>
      </c>
      <c r="H20" s="4" t="n">
        <f aca="false">SUM(H2:H19)</f>
        <v>205183.59</v>
      </c>
      <c r="I20" s="4" t="n">
        <f aca="false">SUM(I2:I19)</f>
        <v>0</v>
      </c>
      <c r="J20" s="2"/>
    </row>
  </sheetData>
  <autoFilter ref="A1:J20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8"/>
  </cols>
  <sheetData>
    <row r="1" customFormat="false" ht="31.5" hidden="false" customHeight="true" outlineLevel="0" collapsed="false">
      <c r="A1" s="1" t="s">
        <v>8</v>
      </c>
      <c r="B1" s="1" t="s">
        <v>196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201</v>
      </c>
      <c r="K1" s="1" t="s">
        <v>214</v>
      </c>
      <c r="L1" s="1" t="s">
        <v>215</v>
      </c>
      <c r="M1" s="1" t="s">
        <v>216</v>
      </c>
      <c r="N1" s="1" t="s">
        <v>217</v>
      </c>
      <c r="O1" s="8" t="s">
        <v>218</v>
      </c>
      <c r="P1" s="1" t="s">
        <v>219</v>
      </c>
      <c r="Q1" s="1" t="s">
        <v>204</v>
      </c>
    </row>
    <row r="2" customFormat="false" ht="15" hidden="false" customHeight="false" outlineLevel="0" collapsed="false">
      <c r="A2" s="12" t="n">
        <v>1</v>
      </c>
      <c r="B2" s="12" t="n">
        <v>2024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4" t="n">
        <f aca="false">SUM(C2:I2)</f>
        <v>0</v>
      </c>
      <c r="L2" s="4" t="n">
        <f aca="false">K2-J2</f>
        <v>0</v>
      </c>
      <c r="M2" s="4" t="n">
        <f aca="false">原表收入!G2*2%</f>
        <v>0</v>
      </c>
      <c r="N2" s="4" t="n">
        <f aca="false">原表收入!G2*5%</f>
        <v>0</v>
      </c>
      <c r="O2" s="4" t="n">
        <f aca="false">M2-I2</f>
        <v>0</v>
      </c>
      <c r="P2" s="7" t="n">
        <f aca="false">IFERROR(I2/原表收入!G2,0)</f>
        <v>0</v>
      </c>
      <c r="Q2" s="2" t="s">
        <v>220</v>
      </c>
    </row>
    <row r="3" customFormat="false" ht="15" hidden="false" customHeight="false" outlineLevel="0" collapsed="false">
      <c r="A3" s="12" t="n">
        <v>2</v>
      </c>
      <c r="B3" s="12" t="n">
        <v>2025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4" t="n">
        <f aca="false">SUM(C3:I3)</f>
        <v>0</v>
      </c>
      <c r="L3" s="4" t="n">
        <f aca="false">K3-J3</f>
        <v>0</v>
      </c>
      <c r="M3" s="4" t="n">
        <f aca="false">原表收入!G3*2%</f>
        <v>0</v>
      </c>
      <c r="N3" s="4" t="n">
        <f aca="false">原表收入!G3*5%</f>
        <v>0</v>
      </c>
      <c r="O3" s="4" t="n">
        <f aca="false">M3-I3</f>
        <v>0</v>
      </c>
      <c r="P3" s="7" t="n">
        <f aca="false">IFERROR(I3/原表收入!G3,0)</f>
        <v>0</v>
      </c>
      <c r="Q3" s="2" t="s">
        <v>220</v>
      </c>
    </row>
    <row r="4" customFormat="false" ht="15" hidden="false" customHeight="false" outlineLevel="0" collapsed="false">
      <c r="A4" s="12" t="n">
        <v>3</v>
      </c>
      <c r="B4" s="12" t="n">
        <v>2026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4" t="n">
        <f aca="false">SUM(C4:I4)</f>
        <v>0</v>
      </c>
      <c r="L4" s="4" t="n">
        <f aca="false">K4-J4</f>
        <v>0</v>
      </c>
      <c r="M4" s="4" t="n">
        <f aca="false">原表收入!G4*2%</f>
        <v>0</v>
      </c>
      <c r="N4" s="4" t="n">
        <f aca="false">原表收入!G4*5%</f>
        <v>0</v>
      </c>
      <c r="O4" s="4" t="n">
        <f aca="false">M4-I4</f>
        <v>0</v>
      </c>
      <c r="P4" s="7" t="n">
        <f aca="false">IFERROR(I4/原表收入!G4,0)</f>
        <v>0</v>
      </c>
      <c r="Q4" s="2" t="s">
        <v>220</v>
      </c>
    </row>
    <row r="5" customFormat="false" ht="15" hidden="false" customHeight="false" outlineLevel="0" collapsed="false">
      <c r="A5" s="12" t="n">
        <v>4</v>
      </c>
      <c r="B5" s="12" t="n">
        <v>2027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4" t="n">
        <f aca="false">SUM(C5:I5)</f>
        <v>0</v>
      </c>
      <c r="L5" s="4" t="n">
        <f aca="false">K5-J5</f>
        <v>0</v>
      </c>
      <c r="M5" s="4" t="n">
        <f aca="false">原表收入!G5*2%</f>
        <v>0</v>
      </c>
      <c r="N5" s="4" t="n">
        <f aca="false">原表收入!G5*5%</f>
        <v>0</v>
      </c>
      <c r="O5" s="4" t="n">
        <f aca="false">M5-I5</f>
        <v>0</v>
      </c>
      <c r="P5" s="7" t="n">
        <f aca="false">IFERROR(I5/原表收入!G5,0)</f>
        <v>0</v>
      </c>
      <c r="Q5" s="2" t="s">
        <v>220</v>
      </c>
    </row>
    <row r="6" customFormat="false" ht="15" hidden="false" customHeight="false" outlineLevel="0" collapsed="false">
      <c r="A6" s="12" t="n">
        <v>5</v>
      </c>
      <c r="B6" s="12" t="n">
        <v>2028</v>
      </c>
      <c r="C6" s="9" t="n">
        <v>5600</v>
      </c>
      <c r="D6" s="9" t="n">
        <v>170</v>
      </c>
      <c r="E6" s="9" t="n">
        <v>1470</v>
      </c>
      <c r="F6" s="9" t="n">
        <v>60</v>
      </c>
      <c r="G6" s="9" t="n">
        <v>35</v>
      </c>
      <c r="H6" s="9" t="n">
        <v>20</v>
      </c>
      <c r="I6" s="9" t="n">
        <v>184.69</v>
      </c>
      <c r="J6" s="9" t="n">
        <v>7539.69</v>
      </c>
      <c r="K6" s="4" t="n">
        <f aca="false">SUM(C6:I6)</f>
        <v>7539.69</v>
      </c>
      <c r="L6" s="4" t="n">
        <f aca="false">K6-J6</f>
        <v>0</v>
      </c>
      <c r="M6" s="4" t="n">
        <f aca="false">原表收入!G6*2%</f>
        <v>184.6916</v>
      </c>
      <c r="N6" s="4" t="n">
        <f aca="false">原表收入!G6*5%</f>
        <v>461.729</v>
      </c>
      <c r="O6" s="4" t="n">
        <f aca="false">M6-I6</f>
        <v>0.00159999999999627</v>
      </c>
      <c r="P6" s="7" t="n">
        <f aca="false">IFERROR(I6/原表收入!G6,0)</f>
        <v>0.0199998267381949</v>
      </c>
      <c r="Q6" s="2" t="s">
        <v>220</v>
      </c>
    </row>
    <row r="7" customFormat="false" ht="15" hidden="false" customHeight="false" outlineLevel="0" collapsed="false">
      <c r="A7" s="12" t="n">
        <v>6</v>
      </c>
      <c r="B7" s="12" t="n">
        <v>2029</v>
      </c>
      <c r="C7" s="9" t="n">
        <v>5768</v>
      </c>
      <c r="D7" s="9" t="n">
        <v>175.1</v>
      </c>
      <c r="E7" s="9" t="n">
        <v>1514.1</v>
      </c>
      <c r="F7" s="9" t="n">
        <v>61.8</v>
      </c>
      <c r="G7" s="9" t="n">
        <v>36.05</v>
      </c>
      <c r="H7" s="9" t="n">
        <v>20.6</v>
      </c>
      <c r="I7" s="9" t="n">
        <v>202.46</v>
      </c>
      <c r="J7" s="9" t="n">
        <v>7778.11</v>
      </c>
      <c r="K7" s="4" t="n">
        <f aca="false">SUM(C7:I7)</f>
        <v>7778.11</v>
      </c>
      <c r="L7" s="4" t="n">
        <f aca="false">K7-J7</f>
        <v>0</v>
      </c>
      <c r="M7" s="4" t="n">
        <f aca="false">原表收入!G7*2%</f>
        <v>202.4638</v>
      </c>
      <c r="N7" s="4" t="n">
        <f aca="false">原表收入!G7*5%</f>
        <v>506.1595</v>
      </c>
      <c r="O7" s="4" t="n">
        <f aca="false">M7-I7</f>
        <v>0.00380000000001246</v>
      </c>
      <c r="P7" s="7" t="n">
        <f aca="false">IFERROR(I7/原表收入!G7,0)</f>
        <v>0.0199996246242538</v>
      </c>
      <c r="Q7" s="2" t="s">
        <v>220</v>
      </c>
    </row>
    <row r="8" customFormat="false" ht="15" hidden="false" customHeight="false" outlineLevel="0" collapsed="false">
      <c r="A8" s="12" t="n">
        <v>7</v>
      </c>
      <c r="B8" s="12" t="n">
        <v>2030</v>
      </c>
      <c r="C8" s="9" t="n">
        <v>5941.04</v>
      </c>
      <c r="D8" s="9" t="n">
        <v>180.35</v>
      </c>
      <c r="E8" s="9" t="n">
        <v>1559.52</v>
      </c>
      <c r="F8" s="9" t="n">
        <v>63.65</v>
      </c>
      <c r="G8" s="9" t="n">
        <v>37.13</v>
      </c>
      <c r="H8" s="9" t="n">
        <v>21.22</v>
      </c>
      <c r="I8" s="9" t="n">
        <v>220.83</v>
      </c>
      <c r="J8" s="9" t="n">
        <v>8023.74</v>
      </c>
      <c r="K8" s="4" t="n">
        <f aca="false">SUM(C8:I8)</f>
        <v>8023.74</v>
      </c>
      <c r="L8" s="4" t="n">
        <f aca="false">K8-J8</f>
        <v>0</v>
      </c>
      <c r="M8" s="4" t="n">
        <f aca="false">原表收入!G8*2%</f>
        <v>220.8338</v>
      </c>
      <c r="N8" s="4" t="n">
        <f aca="false">原表收入!G8*5%</f>
        <v>552.0845</v>
      </c>
      <c r="O8" s="4" t="n">
        <f aca="false">M8-I8</f>
        <v>0.00380000000001246</v>
      </c>
      <c r="P8" s="7" t="n">
        <f aca="false">IFERROR(I8/原表收入!G8,0)</f>
        <v>0.0199996558497839</v>
      </c>
      <c r="Q8" s="2" t="s">
        <v>220</v>
      </c>
    </row>
    <row r="9" customFormat="false" ht="15" hidden="false" customHeight="false" outlineLevel="0" collapsed="false">
      <c r="A9" s="12" t="n">
        <v>8</v>
      </c>
      <c r="B9" s="12" t="n">
        <v>2031</v>
      </c>
      <c r="C9" s="9" t="n">
        <v>6119.27</v>
      </c>
      <c r="D9" s="9" t="n">
        <v>185.76</v>
      </c>
      <c r="E9" s="9" t="n">
        <v>1606.31</v>
      </c>
      <c r="F9" s="9" t="n">
        <v>65.56</v>
      </c>
      <c r="G9" s="9" t="n">
        <v>38.25</v>
      </c>
      <c r="H9" s="9" t="n">
        <v>21.85</v>
      </c>
      <c r="I9" s="9" t="n">
        <v>241.04</v>
      </c>
      <c r="J9" s="9" t="n">
        <v>8278.04</v>
      </c>
      <c r="K9" s="4" t="n">
        <f aca="false">SUM(C9:I9)</f>
        <v>8278.04</v>
      </c>
      <c r="L9" s="4" t="n">
        <f aca="false">K9-J9</f>
        <v>0</v>
      </c>
      <c r="M9" s="4" t="n">
        <f aca="false">原表收入!G9*2%</f>
        <v>241.0408</v>
      </c>
      <c r="N9" s="4" t="n">
        <f aca="false">原表收入!G9*5%</f>
        <v>602.602</v>
      </c>
      <c r="O9" s="4" t="n">
        <f aca="false">M9-I9</f>
        <v>0.000800000000026557</v>
      </c>
      <c r="P9" s="7" t="n">
        <f aca="false">IFERROR(I9/原表收入!G9,0)</f>
        <v>0.0199999336211961</v>
      </c>
      <c r="Q9" s="2" t="s">
        <v>220</v>
      </c>
    </row>
    <row r="10" customFormat="false" ht="15" hidden="false" customHeight="false" outlineLevel="0" collapsed="false">
      <c r="A10" s="12" t="n">
        <v>9</v>
      </c>
      <c r="B10" s="12" t="n">
        <v>2032</v>
      </c>
      <c r="C10" s="9" t="n">
        <v>6302.85</v>
      </c>
      <c r="D10" s="9" t="n">
        <v>191.33</v>
      </c>
      <c r="E10" s="9" t="n">
        <v>1654.5</v>
      </c>
      <c r="F10" s="9" t="n">
        <v>67.53</v>
      </c>
      <c r="G10" s="9" t="n">
        <v>39.39</v>
      </c>
      <c r="H10" s="9" t="n">
        <v>22.51</v>
      </c>
      <c r="I10" s="9" t="n">
        <v>263.27</v>
      </c>
      <c r="J10" s="9" t="n">
        <v>8541.38</v>
      </c>
      <c r="K10" s="4" t="n">
        <f aca="false">SUM(C10:I10)</f>
        <v>8541.38</v>
      </c>
      <c r="L10" s="4" t="n">
        <f aca="false">K10-J10</f>
        <v>0</v>
      </c>
      <c r="M10" s="4" t="n">
        <f aca="false">原表收入!G10*2%</f>
        <v>263.2686</v>
      </c>
      <c r="N10" s="4" t="n">
        <f aca="false">原表收入!G10*5%</f>
        <v>658.1715</v>
      </c>
      <c r="O10" s="4" t="n">
        <f aca="false">M10-I10</f>
        <v>-0.00139999999998963</v>
      </c>
      <c r="P10" s="7" t="n">
        <f aca="false">IFERROR(I10/原表收入!G10,0)</f>
        <v>0.0200001063552585</v>
      </c>
      <c r="Q10" s="2" t="s">
        <v>220</v>
      </c>
    </row>
    <row r="11" customFormat="false" ht="15" hidden="false" customHeight="false" outlineLevel="0" collapsed="false">
      <c r="A11" s="12" t="n">
        <v>10</v>
      </c>
      <c r="B11" s="12" t="n">
        <v>2033</v>
      </c>
      <c r="C11" s="9" t="n">
        <v>6491.94</v>
      </c>
      <c r="D11" s="9" t="n">
        <v>197.07</v>
      </c>
      <c r="E11" s="9" t="n">
        <v>1704.14</v>
      </c>
      <c r="F11" s="9" t="n">
        <v>69.56</v>
      </c>
      <c r="G11" s="9" t="n">
        <v>40.57</v>
      </c>
      <c r="H11" s="9" t="n">
        <v>23.19</v>
      </c>
      <c r="I11" s="9" t="n">
        <v>282.8</v>
      </c>
      <c r="J11" s="9" t="n">
        <v>8809.27</v>
      </c>
      <c r="K11" s="4" t="n">
        <f aca="false">SUM(C11:I11)</f>
        <v>8809.27</v>
      </c>
      <c r="L11" s="4" t="n">
        <f aca="false">K11-J11</f>
        <v>0</v>
      </c>
      <c r="M11" s="4" t="n">
        <f aca="false">原表收入!G11*2%</f>
        <v>282.7972</v>
      </c>
      <c r="N11" s="4" t="n">
        <f aca="false">原表收入!G11*5%</f>
        <v>706.993</v>
      </c>
      <c r="O11" s="4" t="n">
        <f aca="false">M11-I11</f>
        <v>-0.00279999999997926</v>
      </c>
      <c r="P11" s="7" t="n">
        <f aca="false">IFERROR(I11/原表收入!G11,0)</f>
        <v>0.0200001980217626</v>
      </c>
      <c r="Q11" s="2" t="s">
        <v>220</v>
      </c>
    </row>
    <row r="12" customFormat="false" ht="15" hidden="false" customHeight="false" outlineLevel="0" collapsed="false">
      <c r="A12" s="12" t="n">
        <v>11</v>
      </c>
      <c r="B12" s="12" t="n">
        <v>2034</v>
      </c>
      <c r="C12" s="9" t="n">
        <v>6686.7</v>
      </c>
      <c r="D12" s="9" t="n">
        <v>202.98</v>
      </c>
      <c r="E12" s="9" t="n">
        <v>1755.26</v>
      </c>
      <c r="F12" s="9" t="n">
        <v>71.65</v>
      </c>
      <c r="G12" s="9" t="n">
        <v>41.79</v>
      </c>
      <c r="H12" s="9" t="n">
        <v>23.88</v>
      </c>
      <c r="I12" s="9" t="n">
        <v>295.63</v>
      </c>
      <c r="J12" s="9" t="n">
        <v>9077.89</v>
      </c>
      <c r="K12" s="4" t="n">
        <f aca="false">SUM(C12:I12)</f>
        <v>9077.89</v>
      </c>
      <c r="L12" s="4" t="n">
        <f aca="false">K12-J12</f>
        <v>0</v>
      </c>
      <c r="M12" s="4" t="n">
        <f aca="false">原表收入!G12*2%</f>
        <v>295.6338</v>
      </c>
      <c r="N12" s="4" t="n">
        <f aca="false">原表收入!G12*5%</f>
        <v>739.0845</v>
      </c>
      <c r="O12" s="4" t="n">
        <f aca="false">M12-I12</f>
        <v>0.00380000000001246</v>
      </c>
      <c r="P12" s="7" t="n">
        <f aca="false">IFERROR(I12/原表收入!G12,0)</f>
        <v>0.0199997429252</v>
      </c>
      <c r="Q12" s="2" t="s">
        <v>220</v>
      </c>
    </row>
    <row r="13" customFormat="false" ht="15" hidden="false" customHeight="false" outlineLevel="0" collapsed="false">
      <c r="A13" s="12" t="n">
        <v>12</v>
      </c>
      <c r="B13" s="12" t="n">
        <v>2035</v>
      </c>
      <c r="C13" s="9" t="n">
        <v>6887.3</v>
      </c>
      <c r="D13" s="9" t="n">
        <v>209.07</v>
      </c>
      <c r="E13" s="9" t="n">
        <v>1807.92</v>
      </c>
      <c r="F13" s="9" t="n">
        <v>73.8</v>
      </c>
      <c r="G13" s="9" t="n">
        <v>43.05</v>
      </c>
      <c r="H13" s="9" t="n">
        <v>24.6</v>
      </c>
      <c r="I13" s="9" t="n">
        <v>309.11</v>
      </c>
      <c r="J13" s="9" t="n">
        <v>9354.85</v>
      </c>
      <c r="K13" s="4" t="n">
        <f aca="false">SUM(C13:I13)</f>
        <v>9354.85</v>
      </c>
      <c r="L13" s="4" t="n">
        <f aca="false">K13-J13</f>
        <v>0</v>
      </c>
      <c r="M13" s="4" t="n">
        <f aca="false">原表收入!G13*2%</f>
        <v>309.112</v>
      </c>
      <c r="N13" s="4" t="n">
        <f aca="false">原表收入!G13*5%</f>
        <v>772.78</v>
      </c>
      <c r="O13" s="4" t="n">
        <f aca="false">M13-I13</f>
        <v>0.00200000000000955</v>
      </c>
      <c r="P13" s="7" t="n">
        <f aca="false">IFERROR(I13/原表收入!G13,0)</f>
        <v>0.0199998705970651</v>
      </c>
      <c r="Q13" s="2" t="s">
        <v>220</v>
      </c>
    </row>
    <row r="14" customFormat="false" ht="15" hidden="false" customHeight="false" outlineLevel="0" collapsed="false">
      <c r="A14" s="12" t="n">
        <v>13</v>
      </c>
      <c r="B14" s="12" t="n">
        <v>2036</v>
      </c>
      <c r="C14" s="9" t="n">
        <v>7093.92</v>
      </c>
      <c r="D14" s="9" t="n">
        <v>215.34</v>
      </c>
      <c r="E14" s="9" t="n">
        <v>1862.16</v>
      </c>
      <c r="F14" s="9" t="n">
        <v>76.01</v>
      </c>
      <c r="G14" s="9" t="n">
        <v>44.34</v>
      </c>
      <c r="H14" s="9" t="n">
        <v>25.34</v>
      </c>
      <c r="I14" s="9" t="n">
        <v>323.26</v>
      </c>
      <c r="J14" s="9" t="n">
        <v>9640.37</v>
      </c>
      <c r="K14" s="4" t="n">
        <f aca="false">SUM(C14:I14)</f>
        <v>9640.37</v>
      </c>
      <c r="L14" s="4" t="n">
        <f aca="false">K14-J14</f>
        <v>0</v>
      </c>
      <c r="M14" s="4" t="n">
        <f aca="false">原表收入!G14*2%</f>
        <v>323.2642</v>
      </c>
      <c r="N14" s="4" t="n">
        <f aca="false">原表收入!G14*5%</f>
        <v>808.1605</v>
      </c>
      <c r="O14" s="4" t="n">
        <f aca="false">M14-I14</f>
        <v>0.00420000000002574</v>
      </c>
      <c r="P14" s="7" t="n">
        <f aca="false">IFERROR(I14/原表收入!G14,0)</f>
        <v>0.019999740150626</v>
      </c>
      <c r="Q14" s="2" t="s">
        <v>220</v>
      </c>
    </row>
    <row r="15" customFormat="false" ht="15" hidden="false" customHeight="false" outlineLevel="0" collapsed="false">
      <c r="A15" s="12" t="n">
        <v>14</v>
      </c>
      <c r="B15" s="12" t="n">
        <v>2037</v>
      </c>
      <c r="C15" s="9" t="n">
        <v>7306.74</v>
      </c>
      <c r="D15" s="9" t="n">
        <v>221.8</v>
      </c>
      <c r="E15" s="9" t="n">
        <v>1918.02</v>
      </c>
      <c r="F15" s="9" t="n">
        <v>78.29</v>
      </c>
      <c r="G15" s="9" t="n">
        <v>45.67</v>
      </c>
      <c r="H15" s="9" t="n">
        <v>26.1</v>
      </c>
      <c r="I15" s="9" t="n">
        <v>329.21</v>
      </c>
      <c r="J15" s="9" t="n">
        <v>9925.83</v>
      </c>
      <c r="K15" s="4" t="n">
        <f aca="false">SUM(C15:I15)</f>
        <v>9925.83</v>
      </c>
      <c r="L15" s="4" t="n">
        <f aca="false">K15-J15</f>
        <v>0</v>
      </c>
      <c r="M15" s="4" t="n">
        <f aca="false">原表收入!G15*2%</f>
        <v>338.124</v>
      </c>
      <c r="N15" s="4" t="n">
        <f aca="false">原表收入!G15*5%</f>
        <v>845.31</v>
      </c>
      <c r="O15" s="4" t="n">
        <f aca="false">M15-I15</f>
        <v>8.91400000000004</v>
      </c>
      <c r="P15" s="7" t="n">
        <f aca="false">IFERROR(I15/原表收入!G15,0)</f>
        <v>0.0194727378121636</v>
      </c>
      <c r="Q15" s="2" t="s">
        <v>220</v>
      </c>
    </row>
    <row r="16" customFormat="false" ht="15" hidden="false" customHeight="false" outlineLevel="0" collapsed="false">
      <c r="A16" s="12" t="n">
        <v>15</v>
      </c>
      <c r="B16" s="12" t="n">
        <v>2038</v>
      </c>
      <c r="C16" s="9" t="n">
        <v>7525.94</v>
      </c>
      <c r="D16" s="9" t="n">
        <v>228.45</v>
      </c>
      <c r="E16" s="9" t="n">
        <v>1975.56</v>
      </c>
      <c r="F16" s="9" t="n">
        <v>80.64</v>
      </c>
      <c r="G16" s="9" t="n">
        <v>47.04</v>
      </c>
      <c r="H16" s="9" t="n">
        <v>26.88</v>
      </c>
      <c r="I16" s="9" t="n">
        <v>341.84</v>
      </c>
      <c r="J16" s="9" t="n">
        <v>10226.35</v>
      </c>
      <c r="K16" s="4" t="n">
        <f aca="false">SUM(C16:I16)</f>
        <v>10226.35</v>
      </c>
      <c r="L16" s="4" t="n">
        <f aca="false">K16-J16</f>
        <v>0</v>
      </c>
      <c r="M16" s="4" t="n">
        <f aca="false">原表收入!G16*2%</f>
        <v>350.9336</v>
      </c>
      <c r="N16" s="4" t="n">
        <f aca="false">原表收入!G16*5%</f>
        <v>877.334</v>
      </c>
      <c r="O16" s="4" t="n">
        <f aca="false">M16-I16</f>
        <v>9.09360000000004</v>
      </c>
      <c r="P16" s="7" t="n">
        <f aca="false">IFERROR(I16/原表收入!G16,0)</f>
        <v>0.0194817481141732</v>
      </c>
      <c r="Q16" s="2" t="s">
        <v>220</v>
      </c>
    </row>
    <row r="17" customFormat="false" ht="15" hidden="false" customHeight="false" outlineLevel="0" collapsed="false">
      <c r="A17" s="12" t="n">
        <v>16</v>
      </c>
      <c r="B17" s="12" t="n">
        <v>2039</v>
      </c>
      <c r="C17" s="9" t="n">
        <v>7751.72</v>
      </c>
      <c r="D17" s="9" t="n">
        <v>235.3</v>
      </c>
      <c r="E17" s="9" t="n">
        <v>2034.83</v>
      </c>
      <c r="F17" s="9" t="n">
        <v>83.06</v>
      </c>
      <c r="G17" s="9" t="n">
        <v>48.45</v>
      </c>
      <c r="H17" s="9" t="n">
        <v>27.68</v>
      </c>
      <c r="I17" s="9" t="n">
        <v>348.02</v>
      </c>
      <c r="J17" s="9" t="n">
        <v>10529.06</v>
      </c>
      <c r="K17" s="4" t="n">
        <f aca="false">SUM(C17:I17)</f>
        <v>10529.06</v>
      </c>
      <c r="L17" s="4" t="n">
        <f aca="false">K17-J17</f>
        <v>0</v>
      </c>
      <c r="M17" s="4" t="n">
        <f aca="false">原表收入!G17*2%</f>
        <v>357.2996</v>
      </c>
      <c r="N17" s="4" t="n">
        <f aca="false">原表收入!G17*5%</f>
        <v>893.249</v>
      </c>
      <c r="O17" s="4" t="n">
        <f aca="false">M17-I17</f>
        <v>9.27960000000002</v>
      </c>
      <c r="P17" s="7" t="n">
        <f aca="false">IFERROR(I17/原表收入!G17,0)</f>
        <v>0.0194805703672772</v>
      </c>
      <c r="Q17" s="2" t="s">
        <v>220</v>
      </c>
    </row>
    <row r="18" customFormat="false" ht="15" hidden="false" customHeight="false" outlineLevel="0" collapsed="false">
      <c r="A18" s="12" t="n">
        <v>17</v>
      </c>
      <c r="B18" s="12" t="n">
        <v>2040</v>
      </c>
      <c r="C18" s="9" t="n">
        <v>7984.27</v>
      </c>
      <c r="D18" s="9" t="n">
        <v>242.36</v>
      </c>
      <c r="E18" s="9" t="n">
        <v>2095.87</v>
      </c>
      <c r="F18" s="9" t="n">
        <v>85.55</v>
      </c>
      <c r="G18" s="9" t="n">
        <v>49.9</v>
      </c>
      <c r="H18" s="9" t="n">
        <v>28.52</v>
      </c>
      <c r="I18" s="9" t="n">
        <v>354.33</v>
      </c>
      <c r="J18" s="9" t="n">
        <v>10840.8</v>
      </c>
      <c r="K18" s="4" t="n">
        <f aca="false">SUM(C18:I18)</f>
        <v>10840.8</v>
      </c>
      <c r="L18" s="4" t="n">
        <f aca="false">K18-J18</f>
        <v>0</v>
      </c>
      <c r="M18" s="4" t="n">
        <f aca="false">原表收入!G18*2%</f>
        <v>363.7928</v>
      </c>
      <c r="N18" s="4" t="n">
        <f aca="false">原表收入!G18*5%</f>
        <v>909.482</v>
      </c>
      <c r="O18" s="4" t="n">
        <f aca="false">M18-I18</f>
        <v>9.46280000000002</v>
      </c>
      <c r="P18" s="7" t="n">
        <f aca="false">IFERROR(I18/原表收入!G18,0)</f>
        <v>0.0194797698030307</v>
      </c>
      <c r="Q18" s="2" t="s">
        <v>220</v>
      </c>
    </row>
    <row r="19" customFormat="false" ht="15" hidden="false" customHeight="false" outlineLevel="0" collapsed="false">
      <c r="A19" s="12" t="n">
        <v>18</v>
      </c>
      <c r="B19" s="12" t="n">
        <v>2041</v>
      </c>
      <c r="C19" s="9" t="n">
        <v>8223.8</v>
      </c>
      <c r="D19" s="9" t="n">
        <v>249.63</v>
      </c>
      <c r="E19" s="9" t="n">
        <v>2158.75</v>
      </c>
      <c r="F19" s="9" t="n">
        <v>88.12</v>
      </c>
      <c r="G19" s="9" t="n">
        <v>51.4</v>
      </c>
      <c r="H19" s="9" t="n">
        <v>29.37</v>
      </c>
      <c r="I19" s="9" t="n">
        <v>360.77</v>
      </c>
      <c r="J19" s="9" t="n">
        <v>11161.84</v>
      </c>
      <c r="K19" s="4" t="n">
        <f aca="false">SUM(C19:I19)</f>
        <v>11161.84</v>
      </c>
      <c r="L19" s="4" t="n">
        <f aca="false">K19-J19</f>
        <v>0</v>
      </c>
      <c r="M19" s="4" t="n">
        <f aca="false">原表收入!G19*2%</f>
        <v>370.416</v>
      </c>
      <c r="N19" s="4" t="n">
        <f aca="false">原表收入!G19*5%</f>
        <v>926.04</v>
      </c>
      <c r="O19" s="4" t="n">
        <f aca="false">M19-I19</f>
        <v>9.64600000000002</v>
      </c>
      <c r="P19" s="7" t="n">
        <f aca="false">IFERROR(I19/原表收入!G19,0)</f>
        <v>0.0194791801650037</v>
      </c>
      <c r="Q19" s="2" t="s">
        <v>220</v>
      </c>
    </row>
    <row r="20" customFormat="false" ht="15" hidden="false" customHeight="false" outlineLevel="0" collapsed="false">
      <c r="A20" s="13" t="s">
        <v>206</v>
      </c>
      <c r="B20" s="13"/>
      <c r="C20" s="4" t="n">
        <f aca="false">SUM(C2:C19)</f>
        <v>95683.49</v>
      </c>
      <c r="D20" s="4" t="n">
        <f aca="false">SUM(D2:D19)</f>
        <v>2904.54</v>
      </c>
      <c r="E20" s="4" t="n">
        <f aca="false">SUM(E2:E19)</f>
        <v>25116.94</v>
      </c>
      <c r="F20" s="4" t="n">
        <f aca="false">SUM(F2:F19)</f>
        <v>1025.22</v>
      </c>
      <c r="G20" s="4" t="n">
        <f aca="false">SUM(G2:G19)</f>
        <v>598.03</v>
      </c>
      <c r="H20" s="4" t="n">
        <f aca="false">SUM(H2:H19)</f>
        <v>341.74</v>
      </c>
      <c r="I20" s="4" t="n">
        <f aca="false">SUM(I2:I19)</f>
        <v>4057.26</v>
      </c>
      <c r="J20" s="4" t="n">
        <f aca="false">SUM(J2:J19)</f>
        <v>129727.22</v>
      </c>
      <c r="K20" s="4" t="n">
        <f aca="false">SUM(K2:K19)</f>
        <v>129727.22</v>
      </c>
      <c r="L20" s="4" t="n">
        <f aca="false">SUM(L2:L19)</f>
        <v>0</v>
      </c>
      <c r="M20" s="4" t="n">
        <f aca="false">SUM(M2:M19)</f>
        <v>4103.6718</v>
      </c>
      <c r="N20" s="4" t="n">
        <f aca="false">SUM(N2:N19)</f>
        <v>10259.1795</v>
      </c>
      <c r="O20" s="4" t="n">
        <f aca="false">SUM(O2:O19)</f>
        <v>46.4118000000003</v>
      </c>
      <c r="P20" s="11"/>
      <c r="Q20" s="2"/>
    </row>
  </sheetData>
  <autoFilter ref="A1:Q20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31.5" hidden="false" customHeight="true" outlineLevel="0" collapsed="false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</row>
    <row r="2" customFormat="false" ht="15" hidden="false" customHeight="false" outlineLevel="0" collapsed="false">
      <c r="A2" s="2" t="s">
        <v>39</v>
      </c>
      <c r="B2" s="3" t="s">
        <v>233</v>
      </c>
      <c r="C2" s="12" t="n">
        <v>2022</v>
      </c>
      <c r="D2" s="9" t="n">
        <v>20000</v>
      </c>
      <c r="E2" s="10" t="n">
        <v>0.0322</v>
      </c>
      <c r="F2" s="12" t="n">
        <v>20</v>
      </c>
      <c r="G2" s="12" t="n">
        <v>18</v>
      </c>
      <c r="H2" s="4" t="n">
        <f aca="false">D2*E2</f>
        <v>644</v>
      </c>
      <c r="I2" s="4" t="n">
        <f aca="false">H2*F2</f>
        <v>12880</v>
      </c>
      <c r="J2" s="6" t="n">
        <f aca="false">C2+F2</f>
        <v>2042</v>
      </c>
      <c r="K2" s="6" t="n">
        <f aca="false">2023+G2</f>
        <v>2041</v>
      </c>
      <c r="L2" s="6" t="n">
        <f aca="false">J2-K2</f>
        <v>1</v>
      </c>
    </row>
    <row r="3" customFormat="false" ht="15" hidden="false" customHeight="false" outlineLevel="0" collapsed="false">
      <c r="A3" s="2" t="s">
        <v>39</v>
      </c>
      <c r="B3" s="3" t="s">
        <v>234</v>
      </c>
      <c r="C3" s="12" t="n">
        <v>2023</v>
      </c>
      <c r="D3" s="9" t="n">
        <v>1000</v>
      </c>
      <c r="E3" s="10" t="n">
        <v>0.0292</v>
      </c>
      <c r="F3" s="12" t="n">
        <v>15</v>
      </c>
      <c r="G3" s="12" t="n">
        <v>14</v>
      </c>
      <c r="H3" s="4" t="n">
        <f aca="false">D3*E3</f>
        <v>29.2</v>
      </c>
      <c r="I3" s="4" t="n">
        <f aca="false">H3*F3</f>
        <v>438</v>
      </c>
      <c r="J3" s="6" t="n">
        <f aca="false">C3+F3</f>
        <v>2038</v>
      </c>
      <c r="K3" s="6" t="n">
        <f aca="false">2023+G3</f>
        <v>2037</v>
      </c>
      <c r="L3" s="6" t="n">
        <f aca="false">J3-K3</f>
        <v>1</v>
      </c>
    </row>
    <row r="4" customFormat="false" ht="15" hidden="false" customHeight="false" outlineLevel="0" collapsed="false">
      <c r="A4" s="2" t="s">
        <v>39</v>
      </c>
      <c r="B4" s="3" t="s">
        <v>235</v>
      </c>
      <c r="C4" s="12" t="n">
        <v>2023</v>
      </c>
      <c r="D4" s="9" t="n">
        <v>2000</v>
      </c>
      <c r="E4" s="10" t="n">
        <v>0.0285</v>
      </c>
      <c r="F4" s="12" t="n">
        <v>10</v>
      </c>
      <c r="G4" s="12" t="n">
        <v>9</v>
      </c>
      <c r="H4" s="4" t="n">
        <f aca="false">D4*E4</f>
        <v>57</v>
      </c>
      <c r="I4" s="4" t="n">
        <f aca="false">H4*F4</f>
        <v>570</v>
      </c>
      <c r="J4" s="6" t="n">
        <f aca="false">C4+F4</f>
        <v>2033</v>
      </c>
      <c r="K4" s="6" t="n">
        <f aca="false">2023+G4</f>
        <v>2032</v>
      </c>
      <c r="L4" s="6" t="n">
        <f aca="false">J4-K4</f>
        <v>1</v>
      </c>
    </row>
    <row r="5" customFormat="false" ht="15" hidden="false" customHeight="false" outlineLevel="0" collapsed="false">
      <c r="A5" s="2" t="s">
        <v>39</v>
      </c>
      <c r="B5" s="3" t="s">
        <v>236</v>
      </c>
      <c r="C5" s="12" t="n">
        <v>2024</v>
      </c>
      <c r="D5" s="9" t="n">
        <v>11000</v>
      </c>
      <c r="E5" s="10" t="n">
        <v>0.033</v>
      </c>
      <c r="F5" s="12" t="n">
        <v>5</v>
      </c>
      <c r="G5" s="12" t="n">
        <v>5</v>
      </c>
      <c r="H5" s="4" t="n">
        <f aca="false">D5*E5</f>
        <v>363</v>
      </c>
      <c r="I5" s="4" t="n">
        <f aca="false">H5*F5</f>
        <v>1815</v>
      </c>
      <c r="J5" s="6" t="n">
        <f aca="false">C5+F5</f>
        <v>2029</v>
      </c>
      <c r="K5" s="6" t="n">
        <f aca="false">2023+G5</f>
        <v>2028</v>
      </c>
      <c r="L5" s="6" t="n">
        <f aca="false">J5-K5</f>
        <v>1</v>
      </c>
    </row>
    <row r="6" customFormat="false" ht="15" hidden="false" customHeight="false" outlineLevel="0" collapsed="false">
      <c r="A6" s="2" t="s">
        <v>40</v>
      </c>
      <c r="B6" s="3" t="s">
        <v>233</v>
      </c>
      <c r="C6" s="12" t="n">
        <v>2022</v>
      </c>
      <c r="D6" s="9" t="n">
        <v>20000</v>
      </c>
      <c r="E6" s="10" t="n">
        <v>0.0322</v>
      </c>
      <c r="F6" s="12" t="n">
        <v>20</v>
      </c>
      <c r="G6" s="12" t="n">
        <v>18</v>
      </c>
      <c r="H6" s="4" t="n">
        <f aca="false">D6*E6</f>
        <v>644</v>
      </c>
      <c r="I6" s="4" t="n">
        <f aca="false">H6*F6</f>
        <v>12880</v>
      </c>
      <c r="J6" s="6" t="n">
        <f aca="false">C6+F6</f>
        <v>2042</v>
      </c>
      <c r="K6" s="6" t="n">
        <f aca="false">2023+G6</f>
        <v>2041</v>
      </c>
      <c r="L6" s="6" t="n">
        <f aca="false">J6-K6</f>
        <v>1</v>
      </c>
    </row>
    <row r="7" customFormat="false" ht="15" hidden="false" customHeight="false" outlineLevel="0" collapsed="false">
      <c r="A7" s="2" t="s">
        <v>40</v>
      </c>
      <c r="B7" s="3" t="s">
        <v>234</v>
      </c>
      <c r="C7" s="12" t="n">
        <v>2023</v>
      </c>
      <c r="D7" s="9" t="n">
        <v>1000</v>
      </c>
      <c r="E7" s="10" t="n">
        <v>0.0292</v>
      </c>
      <c r="F7" s="12" t="n">
        <v>15</v>
      </c>
      <c r="G7" s="12" t="n">
        <v>14</v>
      </c>
      <c r="H7" s="4" t="n">
        <f aca="false">D7*E7</f>
        <v>29.2</v>
      </c>
      <c r="I7" s="4" t="n">
        <f aca="false">H7*F7</f>
        <v>438</v>
      </c>
      <c r="J7" s="6" t="n">
        <f aca="false">C7+F7</f>
        <v>2038</v>
      </c>
      <c r="K7" s="6" t="n">
        <f aca="false">2023+G7</f>
        <v>2037</v>
      </c>
      <c r="L7" s="6" t="n">
        <f aca="false">J7-K7</f>
        <v>1</v>
      </c>
    </row>
    <row r="8" customFormat="false" ht="15" hidden="false" customHeight="false" outlineLevel="0" collapsed="false">
      <c r="A8" s="2" t="s">
        <v>40</v>
      </c>
      <c r="B8" s="3" t="s">
        <v>235</v>
      </c>
      <c r="C8" s="12" t="n">
        <v>2023</v>
      </c>
      <c r="D8" s="9" t="n">
        <v>2000</v>
      </c>
      <c r="E8" s="10" t="n">
        <v>0.0285</v>
      </c>
      <c r="F8" s="12" t="n">
        <v>10</v>
      </c>
      <c r="G8" s="12" t="n">
        <v>9</v>
      </c>
      <c r="H8" s="4" t="n">
        <f aca="false">D8*E8</f>
        <v>57</v>
      </c>
      <c r="I8" s="4" t="n">
        <f aca="false">H8*F8</f>
        <v>570</v>
      </c>
      <c r="J8" s="6" t="n">
        <f aca="false">C8+F8</f>
        <v>2033</v>
      </c>
      <c r="K8" s="6" t="n">
        <f aca="false">2023+G8</f>
        <v>2032</v>
      </c>
      <c r="L8" s="6" t="n">
        <f aca="false">J8-K8</f>
        <v>1</v>
      </c>
    </row>
    <row r="9" customFormat="false" ht="15" hidden="false" customHeight="false" outlineLevel="0" collapsed="false">
      <c r="A9" s="2" t="s">
        <v>40</v>
      </c>
      <c r="B9" s="3" t="s">
        <v>237</v>
      </c>
      <c r="C9" s="12" t="n">
        <v>2024</v>
      </c>
      <c r="D9" s="9" t="n">
        <v>1400</v>
      </c>
      <c r="E9" s="10" t="n">
        <v>0.0227</v>
      </c>
      <c r="F9" s="12" t="n">
        <v>5</v>
      </c>
      <c r="G9" s="12" t="n">
        <v>5</v>
      </c>
      <c r="H9" s="4" t="n">
        <f aca="false">D9*E9</f>
        <v>31.78</v>
      </c>
      <c r="I9" s="4" t="n">
        <f aca="false">H9*F9</f>
        <v>158.9</v>
      </c>
      <c r="J9" s="6" t="n">
        <f aca="false">C9+F9</f>
        <v>2029</v>
      </c>
      <c r="K9" s="6" t="n">
        <f aca="false">2023+G9</f>
        <v>2028</v>
      </c>
      <c r="L9" s="6" t="n">
        <f aca="false">J9-K9</f>
        <v>1</v>
      </c>
    </row>
    <row r="10" customFormat="false" ht="15" hidden="false" customHeight="false" outlineLevel="0" collapsed="false">
      <c r="A10" s="2" t="s">
        <v>40</v>
      </c>
      <c r="B10" s="3" t="s">
        <v>236</v>
      </c>
      <c r="C10" s="12" t="n">
        <v>2024</v>
      </c>
      <c r="D10" s="9" t="n">
        <v>9600</v>
      </c>
      <c r="E10" s="10" t="n">
        <v>0.036</v>
      </c>
      <c r="F10" s="12" t="n">
        <v>10</v>
      </c>
      <c r="G10" s="12" t="n">
        <v>10</v>
      </c>
      <c r="H10" s="4" t="n">
        <f aca="false">D10*E10</f>
        <v>345.6</v>
      </c>
      <c r="I10" s="4" t="n">
        <f aca="false">H10*F10</f>
        <v>3456</v>
      </c>
      <c r="J10" s="6" t="n">
        <f aca="false">C10+F10</f>
        <v>2034</v>
      </c>
      <c r="K10" s="6" t="n">
        <f aca="false">2023+G10</f>
        <v>2033</v>
      </c>
      <c r="L10" s="6" t="n">
        <f aca="false">J10-K10</f>
        <v>1</v>
      </c>
    </row>
  </sheetData>
  <autoFilter ref="A1:L10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31.5" hidden="false" customHeight="true" outlineLevel="0" collapsed="false">
      <c r="A1" s="1" t="s">
        <v>8</v>
      </c>
      <c r="B1" s="1" t="s">
        <v>196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</row>
    <row r="2" customFormat="false" ht="15" hidden="false" customHeight="false" outlineLevel="0" collapsed="false">
      <c r="A2" s="12" t="n">
        <v>0</v>
      </c>
      <c r="B2" s="13" t="s">
        <v>248</v>
      </c>
      <c r="C2" s="9" t="n">
        <v>0</v>
      </c>
      <c r="D2" s="9" t="n">
        <v>1374.2</v>
      </c>
      <c r="E2" s="4" t="n">
        <f aca="false">C2+D2</f>
        <v>1374.2</v>
      </c>
      <c r="F2" s="9" t="n">
        <v>0</v>
      </c>
      <c r="G2" s="9" t="n">
        <v>1374.2</v>
      </c>
      <c r="H2" s="4" t="n">
        <f aca="false">F2+G2</f>
        <v>1374.2</v>
      </c>
      <c r="I2" s="4" t="n">
        <f aca="false">融资计划!H2*2+融资计划!H3+融资计划!H4</f>
        <v>1374.2</v>
      </c>
      <c r="J2" s="4" t="n">
        <f aca="false">融资计划!H6*2+融资计划!H7+融资计划!H8</f>
        <v>1374.2</v>
      </c>
      <c r="K2" s="4" t="n">
        <f aca="false">I2-D2</f>
        <v>0</v>
      </c>
      <c r="L2" s="4" t="n">
        <f aca="false">J2-G2</f>
        <v>0</v>
      </c>
    </row>
    <row r="3" customFormat="false" ht="15" hidden="false" customHeight="false" outlineLevel="0" collapsed="false">
      <c r="A3" s="12" t="n">
        <v>1</v>
      </c>
      <c r="B3" s="12" t="n">
        <v>2024</v>
      </c>
      <c r="C3" s="9" t="n">
        <v>0</v>
      </c>
      <c r="D3" s="9" t="n">
        <v>1093.2</v>
      </c>
      <c r="E3" s="4" t="n">
        <f aca="false">C3+D3</f>
        <v>1093.2</v>
      </c>
      <c r="F3" s="9" t="n">
        <v>0</v>
      </c>
      <c r="G3" s="9" t="n">
        <v>1107.58</v>
      </c>
      <c r="H3" s="4" t="n">
        <f aca="false">F3+G3</f>
        <v>1107.58</v>
      </c>
      <c r="I3" s="4" t="n">
        <f aca="false">IF(A3&lt;=融资计划!G2,融资计划!H2,0)+IF(A3&lt;=融资计划!G3,融资计划!H3,0)+IF(A3&lt;=融资计划!G4,融资计划!H4,0)+IF(A3&lt;=融资计划!G5,融资计划!H5,0)</f>
        <v>1093.2</v>
      </c>
      <c r="J3" s="4" t="n">
        <f aca="false">IF(A3&lt;=融资计划!G6,融资计划!H6,0)+IF(A3&lt;=融资计划!G7,融资计划!H7,0)+IF(A3&lt;=融资计划!G8,融资计划!H8,0)+IF(A3&lt;=融资计划!G9,融资计划!H9,0)+IF(A3&lt;=融资计划!G10,融资计划!H10,0)</f>
        <v>1107.58</v>
      </c>
      <c r="K3" s="4" t="n">
        <f aca="false">I3-D3</f>
        <v>0</v>
      </c>
      <c r="L3" s="4" t="n">
        <f aca="false">J3-G3</f>
        <v>0</v>
      </c>
    </row>
    <row r="4" customFormat="false" ht="15" hidden="false" customHeight="false" outlineLevel="0" collapsed="false">
      <c r="A4" s="12" t="n">
        <v>2</v>
      </c>
      <c r="B4" s="12" t="n">
        <v>2025</v>
      </c>
      <c r="C4" s="9" t="n">
        <v>0</v>
      </c>
      <c r="D4" s="9" t="n">
        <v>1093.2</v>
      </c>
      <c r="E4" s="4" t="n">
        <f aca="false">C4+D4</f>
        <v>1093.2</v>
      </c>
      <c r="F4" s="9" t="n">
        <v>0</v>
      </c>
      <c r="G4" s="9" t="n">
        <v>1107.58</v>
      </c>
      <c r="H4" s="4" t="n">
        <f aca="false">F4+G4</f>
        <v>1107.58</v>
      </c>
      <c r="I4" s="4" t="n">
        <f aca="false">IF(A4&lt;=融资计划!G2,融资计划!H2,0)+IF(A4&lt;=融资计划!G3,融资计划!H3,0)+IF(A4&lt;=融资计划!G4,融资计划!H4,0)+IF(A4&lt;=融资计划!G5,融资计划!H5,0)</f>
        <v>1093.2</v>
      </c>
      <c r="J4" s="4" t="n">
        <f aca="false">IF(A4&lt;=融资计划!G6,融资计划!H6,0)+IF(A4&lt;=融资计划!G7,融资计划!H7,0)+IF(A4&lt;=融资计划!G8,融资计划!H8,0)+IF(A4&lt;=融资计划!G9,融资计划!H9,0)+IF(A4&lt;=融资计划!G10,融资计划!H10,0)</f>
        <v>1107.58</v>
      </c>
      <c r="K4" s="4" t="n">
        <f aca="false">I4-D4</f>
        <v>0</v>
      </c>
      <c r="L4" s="4" t="n">
        <f aca="false">J4-G4</f>
        <v>0</v>
      </c>
    </row>
    <row r="5" customFormat="false" ht="15" hidden="false" customHeight="false" outlineLevel="0" collapsed="false">
      <c r="A5" s="12" t="n">
        <v>3</v>
      </c>
      <c r="B5" s="12" t="n">
        <v>2026</v>
      </c>
      <c r="C5" s="9" t="n">
        <v>0</v>
      </c>
      <c r="D5" s="9" t="n">
        <v>1093.2</v>
      </c>
      <c r="E5" s="4" t="n">
        <f aca="false">C5+D5</f>
        <v>1093.2</v>
      </c>
      <c r="F5" s="9" t="n">
        <v>0</v>
      </c>
      <c r="G5" s="9" t="n">
        <v>1107.58</v>
      </c>
      <c r="H5" s="4" t="n">
        <f aca="false">F5+G5</f>
        <v>1107.58</v>
      </c>
      <c r="I5" s="4" t="n">
        <f aca="false">IF(A5&lt;=融资计划!G2,融资计划!H2,0)+IF(A5&lt;=融资计划!G3,融资计划!H3,0)+IF(A5&lt;=融资计划!G4,融资计划!H4,0)+IF(A5&lt;=融资计划!G5,融资计划!H5,0)</f>
        <v>1093.2</v>
      </c>
      <c r="J5" s="4" t="n">
        <f aca="false">IF(A5&lt;=融资计划!G6,融资计划!H6,0)+IF(A5&lt;=融资计划!G7,融资计划!H7,0)+IF(A5&lt;=融资计划!G8,融资计划!H8,0)+IF(A5&lt;=融资计划!G9,融资计划!H9,0)+IF(A5&lt;=融资计划!G10,融资计划!H10,0)</f>
        <v>1107.58</v>
      </c>
      <c r="K5" s="4" t="n">
        <f aca="false">I5-D5</f>
        <v>0</v>
      </c>
      <c r="L5" s="4" t="n">
        <f aca="false">J5-G5</f>
        <v>0</v>
      </c>
    </row>
    <row r="6" customFormat="false" ht="15" hidden="false" customHeight="false" outlineLevel="0" collapsed="false">
      <c r="A6" s="12" t="n">
        <v>4</v>
      </c>
      <c r="B6" s="12" t="n">
        <v>2027</v>
      </c>
      <c r="C6" s="9" t="n">
        <v>0</v>
      </c>
      <c r="D6" s="9" t="n">
        <v>1093.2</v>
      </c>
      <c r="E6" s="4" t="n">
        <f aca="false">C6+D6</f>
        <v>1093.2</v>
      </c>
      <c r="F6" s="9" t="n">
        <v>0</v>
      </c>
      <c r="G6" s="9" t="n">
        <v>1107.58</v>
      </c>
      <c r="H6" s="4" t="n">
        <f aca="false">F6+G6</f>
        <v>1107.58</v>
      </c>
      <c r="I6" s="4" t="n">
        <f aca="false">IF(A6&lt;=融资计划!G2,融资计划!H2,0)+IF(A6&lt;=融资计划!G3,融资计划!H3,0)+IF(A6&lt;=融资计划!G4,融资计划!H4,0)+IF(A6&lt;=融资计划!G5,融资计划!H5,0)</f>
        <v>1093.2</v>
      </c>
      <c r="J6" s="4" t="n">
        <f aca="false">IF(A6&lt;=融资计划!G6,融资计划!H6,0)+IF(A6&lt;=融资计划!G7,融资计划!H7,0)+IF(A6&lt;=融资计划!G8,融资计划!H8,0)+IF(A6&lt;=融资计划!G9,融资计划!H9,0)+IF(A6&lt;=融资计划!G10,融资计划!H10,0)</f>
        <v>1107.58</v>
      </c>
      <c r="K6" s="4" t="n">
        <f aca="false">I6-D6</f>
        <v>0</v>
      </c>
      <c r="L6" s="4" t="n">
        <f aca="false">J6-G6</f>
        <v>0</v>
      </c>
    </row>
    <row r="7" customFormat="false" ht="15" hidden="false" customHeight="false" outlineLevel="0" collapsed="false">
      <c r="A7" s="12" t="n">
        <v>5</v>
      </c>
      <c r="B7" s="12" t="n">
        <v>2028</v>
      </c>
      <c r="C7" s="9" t="n">
        <v>11000</v>
      </c>
      <c r="D7" s="9" t="n">
        <v>1093.2</v>
      </c>
      <c r="E7" s="4" t="n">
        <f aca="false">C7+D7</f>
        <v>12093.2</v>
      </c>
      <c r="F7" s="9" t="n">
        <v>1400</v>
      </c>
      <c r="G7" s="9" t="n">
        <v>1107.58</v>
      </c>
      <c r="H7" s="4" t="n">
        <f aca="false">F7+G7</f>
        <v>2507.58</v>
      </c>
      <c r="I7" s="4" t="n">
        <f aca="false">IF(A7&lt;=融资计划!G2,融资计划!H2,0)+IF(A7&lt;=融资计划!G3,融资计划!H3,0)+IF(A7&lt;=融资计划!G4,融资计划!H4,0)+IF(A7&lt;=融资计划!G5,融资计划!H5,0)</f>
        <v>1093.2</v>
      </c>
      <c r="J7" s="4" t="n">
        <f aca="false">IF(A7&lt;=融资计划!G6,融资计划!H6,0)+IF(A7&lt;=融资计划!G7,融资计划!H7,0)+IF(A7&lt;=融资计划!G8,融资计划!H8,0)+IF(A7&lt;=融资计划!G9,融资计划!H9,0)+IF(A7&lt;=融资计划!G10,融资计划!H10,0)</f>
        <v>1107.58</v>
      </c>
      <c r="K7" s="4" t="n">
        <f aca="false">I7-D7</f>
        <v>0</v>
      </c>
      <c r="L7" s="4" t="n">
        <f aca="false">J7-G7</f>
        <v>0</v>
      </c>
    </row>
    <row r="8" customFormat="false" ht="15" hidden="false" customHeight="false" outlineLevel="0" collapsed="false">
      <c r="A8" s="12" t="n">
        <v>6</v>
      </c>
      <c r="B8" s="12" t="n">
        <v>2029</v>
      </c>
      <c r="C8" s="9" t="n">
        <v>0</v>
      </c>
      <c r="D8" s="9" t="n">
        <v>730.2</v>
      </c>
      <c r="E8" s="4" t="n">
        <f aca="false">C8+D8</f>
        <v>730.2</v>
      </c>
      <c r="F8" s="9" t="n">
        <v>0</v>
      </c>
      <c r="G8" s="9" t="n">
        <v>1075.8</v>
      </c>
      <c r="H8" s="4" t="n">
        <f aca="false">F8+G8</f>
        <v>1075.8</v>
      </c>
      <c r="I8" s="4" t="n">
        <f aca="false">IF(A8&lt;=融资计划!G2,融资计划!H2,0)+IF(A8&lt;=融资计划!G3,融资计划!H3,0)+IF(A8&lt;=融资计划!G4,融资计划!H4,0)+IF(A8&lt;=融资计划!G5,融资计划!H5,0)</f>
        <v>730.2</v>
      </c>
      <c r="J8" s="4" t="n">
        <f aca="false">IF(A8&lt;=融资计划!G6,融资计划!H6,0)+IF(A8&lt;=融资计划!G7,融资计划!H7,0)+IF(A8&lt;=融资计划!G8,融资计划!H8,0)+IF(A8&lt;=融资计划!G9,融资计划!H9,0)+IF(A8&lt;=融资计划!G10,融资计划!H10,0)</f>
        <v>1075.8</v>
      </c>
      <c r="K8" s="4" t="n">
        <f aca="false">I8-D8</f>
        <v>0</v>
      </c>
      <c r="L8" s="4" t="n">
        <f aca="false">J8-G8</f>
        <v>0</v>
      </c>
    </row>
    <row r="9" customFormat="false" ht="15" hidden="false" customHeight="false" outlineLevel="0" collapsed="false">
      <c r="A9" s="12" t="n">
        <v>7</v>
      </c>
      <c r="B9" s="12" t="n">
        <v>2030</v>
      </c>
      <c r="C9" s="9" t="n">
        <v>0</v>
      </c>
      <c r="D9" s="9" t="n">
        <v>730.2</v>
      </c>
      <c r="E9" s="4" t="n">
        <f aca="false">C9+D9</f>
        <v>730.2</v>
      </c>
      <c r="F9" s="9" t="n">
        <v>0</v>
      </c>
      <c r="G9" s="9" t="n">
        <v>1075.8</v>
      </c>
      <c r="H9" s="4" t="n">
        <f aca="false">F9+G9</f>
        <v>1075.8</v>
      </c>
      <c r="I9" s="4" t="n">
        <f aca="false">IF(A9&lt;=融资计划!G2,融资计划!H2,0)+IF(A9&lt;=融资计划!G3,融资计划!H3,0)+IF(A9&lt;=融资计划!G4,融资计划!H4,0)+IF(A9&lt;=融资计划!G5,融资计划!H5,0)</f>
        <v>730.2</v>
      </c>
      <c r="J9" s="4" t="n">
        <f aca="false">IF(A9&lt;=融资计划!G6,融资计划!H6,0)+IF(A9&lt;=融资计划!G7,融资计划!H7,0)+IF(A9&lt;=融资计划!G8,融资计划!H8,0)+IF(A9&lt;=融资计划!G9,融资计划!H9,0)+IF(A9&lt;=融资计划!G10,融资计划!H10,0)</f>
        <v>1075.8</v>
      </c>
      <c r="K9" s="4" t="n">
        <f aca="false">I9-D9</f>
        <v>0</v>
      </c>
      <c r="L9" s="4" t="n">
        <f aca="false">J9-G9</f>
        <v>0</v>
      </c>
    </row>
    <row r="10" customFormat="false" ht="15" hidden="false" customHeight="false" outlineLevel="0" collapsed="false">
      <c r="A10" s="12" t="n">
        <v>8</v>
      </c>
      <c r="B10" s="12" t="n">
        <v>2031</v>
      </c>
      <c r="C10" s="9" t="n">
        <v>0</v>
      </c>
      <c r="D10" s="9" t="n">
        <v>730.2</v>
      </c>
      <c r="E10" s="4" t="n">
        <f aca="false">C10+D10</f>
        <v>730.2</v>
      </c>
      <c r="F10" s="9" t="n">
        <v>0</v>
      </c>
      <c r="G10" s="9" t="n">
        <v>1075.8</v>
      </c>
      <c r="H10" s="4" t="n">
        <f aca="false">F10+G10</f>
        <v>1075.8</v>
      </c>
      <c r="I10" s="4" t="n">
        <f aca="false">IF(A10&lt;=融资计划!G2,融资计划!H2,0)+IF(A10&lt;=融资计划!G3,融资计划!H3,0)+IF(A10&lt;=融资计划!G4,融资计划!H4,0)+IF(A10&lt;=融资计划!G5,融资计划!H5,0)</f>
        <v>730.2</v>
      </c>
      <c r="J10" s="4" t="n">
        <f aca="false">IF(A10&lt;=融资计划!G6,融资计划!H6,0)+IF(A10&lt;=融资计划!G7,融资计划!H7,0)+IF(A10&lt;=融资计划!G8,融资计划!H8,0)+IF(A10&lt;=融资计划!G9,融资计划!H9,0)+IF(A10&lt;=融资计划!G10,融资计划!H10,0)</f>
        <v>1075.8</v>
      </c>
      <c r="K10" s="4" t="n">
        <f aca="false">I10-D10</f>
        <v>0</v>
      </c>
      <c r="L10" s="4" t="n">
        <f aca="false">J10-G10</f>
        <v>0</v>
      </c>
    </row>
    <row r="11" customFormat="false" ht="15" hidden="false" customHeight="false" outlineLevel="0" collapsed="false">
      <c r="A11" s="12" t="n">
        <v>9</v>
      </c>
      <c r="B11" s="12" t="n">
        <v>2032</v>
      </c>
      <c r="C11" s="9" t="n">
        <v>2000</v>
      </c>
      <c r="D11" s="9" t="n">
        <v>730.2</v>
      </c>
      <c r="E11" s="4" t="n">
        <f aca="false">C11+D11</f>
        <v>2730.2</v>
      </c>
      <c r="F11" s="9" t="n">
        <v>2000</v>
      </c>
      <c r="G11" s="9" t="n">
        <v>1075.8</v>
      </c>
      <c r="H11" s="4" t="n">
        <f aca="false">F11+G11</f>
        <v>3075.8</v>
      </c>
      <c r="I11" s="4" t="n">
        <f aca="false">IF(A11&lt;=融资计划!G2,融资计划!H2,0)+IF(A11&lt;=融资计划!G3,融资计划!H3,0)+IF(A11&lt;=融资计划!G4,融资计划!H4,0)+IF(A11&lt;=融资计划!G5,融资计划!H5,0)</f>
        <v>730.2</v>
      </c>
      <c r="J11" s="4" t="n">
        <f aca="false">IF(A11&lt;=融资计划!G6,融资计划!H6,0)+IF(A11&lt;=融资计划!G7,融资计划!H7,0)+IF(A11&lt;=融资计划!G8,融资计划!H8,0)+IF(A11&lt;=融资计划!G9,融资计划!H9,0)+IF(A11&lt;=融资计划!G10,融资计划!H10,0)</f>
        <v>1075.8</v>
      </c>
      <c r="K11" s="4" t="n">
        <f aca="false">I11-D11</f>
        <v>0</v>
      </c>
      <c r="L11" s="4" t="n">
        <f aca="false">J11-G11</f>
        <v>0</v>
      </c>
    </row>
    <row r="12" customFormat="false" ht="15" hidden="false" customHeight="false" outlineLevel="0" collapsed="false">
      <c r="A12" s="12" t="n">
        <v>10</v>
      </c>
      <c r="B12" s="12" t="n">
        <v>2033</v>
      </c>
      <c r="C12" s="9" t="n">
        <v>0</v>
      </c>
      <c r="D12" s="9" t="n">
        <v>673.2</v>
      </c>
      <c r="E12" s="4" t="n">
        <f aca="false">C12+D12</f>
        <v>673.2</v>
      </c>
      <c r="F12" s="9" t="n">
        <v>9600</v>
      </c>
      <c r="G12" s="9" t="n">
        <v>1018.8</v>
      </c>
      <c r="H12" s="4" t="n">
        <f aca="false">F12+G12</f>
        <v>10618.8</v>
      </c>
      <c r="I12" s="4" t="n">
        <f aca="false">IF(A12&lt;=融资计划!G2,融资计划!H2,0)+IF(A12&lt;=融资计划!G3,融资计划!H3,0)+IF(A12&lt;=融资计划!G4,融资计划!H4,0)+IF(A12&lt;=融资计划!G5,融资计划!H5,0)</f>
        <v>673.2</v>
      </c>
      <c r="J12" s="4" t="n">
        <f aca="false">IF(A12&lt;=融资计划!G6,融资计划!H6,0)+IF(A12&lt;=融资计划!G7,融资计划!H7,0)+IF(A12&lt;=融资计划!G8,融资计划!H8,0)+IF(A12&lt;=融资计划!G9,融资计划!H9,0)+IF(A12&lt;=融资计划!G10,融资计划!H10,0)</f>
        <v>1018.8</v>
      </c>
      <c r="K12" s="4" t="n">
        <f aca="false">I12-D12</f>
        <v>0</v>
      </c>
      <c r="L12" s="4" t="n">
        <f aca="false">J12-G12</f>
        <v>0</v>
      </c>
    </row>
    <row r="13" customFormat="false" ht="15" hidden="false" customHeight="false" outlineLevel="0" collapsed="false">
      <c r="A13" s="12" t="n">
        <v>11</v>
      </c>
      <c r="B13" s="12" t="n">
        <v>2034</v>
      </c>
      <c r="C13" s="9" t="n">
        <v>0</v>
      </c>
      <c r="D13" s="9" t="n">
        <v>673.2</v>
      </c>
      <c r="E13" s="4" t="n">
        <f aca="false">C13+D13</f>
        <v>673.2</v>
      </c>
      <c r="F13" s="9" t="n">
        <v>0</v>
      </c>
      <c r="G13" s="9" t="n">
        <v>673.2</v>
      </c>
      <c r="H13" s="4" t="n">
        <f aca="false">F13+G13</f>
        <v>673.2</v>
      </c>
      <c r="I13" s="4" t="n">
        <f aca="false">IF(A13&lt;=融资计划!G2,融资计划!H2,0)+IF(A13&lt;=融资计划!G3,融资计划!H3,0)+IF(A13&lt;=融资计划!G4,融资计划!H4,0)+IF(A13&lt;=融资计划!G5,融资计划!H5,0)</f>
        <v>673.2</v>
      </c>
      <c r="J13" s="4" t="n">
        <f aca="false">IF(A13&lt;=融资计划!G6,融资计划!H6,0)+IF(A13&lt;=融资计划!G7,融资计划!H7,0)+IF(A13&lt;=融资计划!G8,融资计划!H8,0)+IF(A13&lt;=融资计划!G9,融资计划!H9,0)+IF(A13&lt;=融资计划!G10,融资计划!H10,0)</f>
        <v>673.2</v>
      </c>
      <c r="K13" s="4" t="n">
        <f aca="false">I13-D13</f>
        <v>0</v>
      </c>
      <c r="L13" s="4" t="n">
        <f aca="false">J13-G13</f>
        <v>0</v>
      </c>
    </row>
    <row r="14" customFormat="false" ht="15" hidden="false" customHeight="false" outlineLevel="0" collapsed="false">
      <c r="A14" s="12" t="n">
        <v>12</v>
      </c>
      <c r="B14" s="12" t="n">
        <v>2035</v>
      </c>
      <c r="C14" s="9" t="n">
        <v>0</v>
      </c>
      <c r="D14" s="9" t="n">
        <v>673.2</v>
      </c>
      <c r="E14" s="4" t="n">
        <f aca="false">C14+D14</f>
        <v>673.2</v>
      </c>
      <c r="F14" s="9" t="n">
        <v>0</v>
      </c>
      <c r="G14" s="9" t="n">
        <v>673.2</v>
      </c>
      <c r="H14" s="4" t="n">
        <f aca="false">F14+G14</f>
        <v>673.2</v>
      </c>
      <c r="I14" s="4" t="n">
        <f aca="false">IF(A14&lt;=融资计划!G2,融资计划!H2,0)+IF(A14&lt;=融资计划!G3,融资计划!H3,0)+IF(A14&lt;=融资计划!G4,融资计划!H4,0)+IF(A14&lt;=融资计划!G5,融资计划!H5,0)</f>
        <v>673.2</v>
      </c>
      <c r="J14" s="4" t="n">
        <f aca="false">IF(A14&lt;=融资计划!G6,融资计划!H6,0)+IF(A14&lt;=融资计划!G7,融资计划!H7,0)+IF(A14&lt;=融资计划!G8,融资计划!H8,0)+IF(A14&lt;=融资计划!G9,融资计划!H9,0)+IF(A14&lt;=融资计划!G10,融资计划!H10,0)</f>
        <v>673.2</v>
      </c>
      <c r="K14" s="4" t="n">
        <f aca="false">I14-D14</f>
        <v>0</v>
      </c>
      <c r="L14" s="4" t="n">
        <f aca="false">J14-G14</f>
        <v>0</v>
      </c>
    </row>
    <row r="15" customFormat="false" ht="15" hidden="false" customHeight="false" outlineLevel="0" collapsed="false">
      <c r="A15" s="12" t="n">
        <v>13</v>
      </c>
      <c r="B15" s="12" t="n">
        <v>2036</v>
      </c>
      <c r="C15" s="9" t="n">
        <v>0</v>
      </c>
      <c r="D15" s="9" t="n">
        <v>673.2</v>
      </c>
      <c r="E15" s="4" t="n">
        <f aca="false">C15+D15</f>
        <v>673.2</v>
      </c>
      <c r="F15" s="9" t="n">
        <v>0</v>
      </c>
      <c r="G15" s="9" t="n">
        <v>673.2</v>
      </c>
      <c r="H15" s="4" t="n">
        <f aca="false">F15+G15</f>
        <v>673.2</v>
      </c>
      <c r="I15" s="4" t="n">
        <f aca="false">IF(A15&lt;=融资计划!G2,融资计划!H2,0)+IF(A15&lt;=融资计划!G3,融资计划!H3,0)+IF(A15&lt;=融资计划!G4,融资计划!H4,0)+IF(A15&lt;=融资计划!G5,融资计划!H5,0)</f>
        <v>673.2</v>
      </c>
      <c r="J15" s="4" t="n">
        <f aca="false">IF(A15&lt;=融资计划!G6,融资计划!H6,0)+IF(A15&lt;=融资计划!G7,融资计划!H7,0)+IF(A15&lt;=融资计划!G8,融资计划!H8,0)+IF(A15&lt;=融资计划!G9,融资计划!H9,0)+IF(A15&lt;=融资计划!G10,融资计划!H10,0)</f>
        <v>673.2</v>
      </c>
      <c r="K15" s="4" t="n">
        <f aca="false">I15-D15</f>
        <v>0</v>
      </c>
      <c r="L15" s="4" t="n">
        <f aca="false">J15-G15</f>
        <v>0</v>
      </c>
    </row>
    <row r="16" customFormat="false" ht="15" hidden="false" customHeight="false" outlineLevel="0" collapsed="false">
      <c r="A16" s="12" t="n">
        <v>14</v>
      </c>
      <c r="B16" s="12" t="n">
        <v>2037</v>
      </c>
      <c r="C16" s="9" t="n">
        <v>1000</v>
      </c>
      <c r="D16" s="9" t="n">
        <v>673.2</v>
      </c>
      <c r="E16" s="4" t="n">
        <f aca="false">C16+D16</f>
        <v>1673.2</v>
      </c>
      <c r="F16" s="9" t="n">
        <v>1000</v>
      </c>
      <c r="G16" s="9" t="n">
        <v>673.2</v>
      </c>
      <c r="H16" s="4" t="n">
        <f aca="false">F16+G16</f>
        <v>1673.2</v>
      </c>
      <c r="I16" s="4" t="n">
        <f aca="false">IF(A16&lt;=融资计划!G2,融资计划!H2,0)+IF(A16&lt;=融资计划!G3,融资计划!H3,0)+IF(A16&lt;=融资计划!G4,融资计划!H4,0)+IF(A16&lt;=融资计划!G5,融资计划!H5,0)</f>
        <v>673.2</v>
      </c>
      <c r="J16" s="4" t="n">
        <f aca="false">IF(A16&lt;=融资计划!G6,融资计划!H6,0)+IF(A16&lt;=融资计划!G7,融资计划!H7,0)+IF(A16&lt;=融资计划!G8,融资计划!H8,0)+IF(A16&lt;=融资计划!G9,融资计划!H9,0)+IF(A16&lt;=融资计划!G10,融资计划!H10,0)</f>
        <v>673.2</v>
      </c>
      <c r="K16" s="4" t="n">
        <f aca="false">I16-D16</f>
        <v>0</v>
      </c>
      <c r="L16" s="4" t="n">
        <f aca="false">J16-G16</f>
        <v>0</v>
      </c>
    </row>
    <row r="17" customFormat="false" ht="15" hidden="false" customHeight="false" outlineLevel="0" collapsed="false">
      <c r="A17" s="12" t="n">
        <v>15</v>
      </c>
      <c r="B17" s="12" t="n">
        <v>2038</v>
      </c>
      <c r="C17" s="9" t="n">
        <v>0</v>
      </c>
      <c r="D17" s="9" t="n">
        <v>644</v>
      </c>
      <c r="E17" s="4" t="n">
        <f aca="false">C17+D17</f>
        <v>644</v>
      </c>
      <c r="F17" s="9" t="n">
        <v>0</v>
      </c>
      <c r="G17" s="9" t="n">
        <v>644</v>
      </c>
      <c r="H17" s="4" t="n">
        <f aca="false">F17+G17</f>
        <v>644</v>
      </c>
      <c r="I17" s="4" t="n">
        <f aca="false">IF(A17&lt;=融资计划!G2,融资计划!H2,0)+IF(A17&lt;=融资计划!G3,融资计划!H3,0)+IF(A17&lt;=融资计划!G4,融资计划!H4,0)+IF(A17&lt;=融资计划!G5,融资计划!H5,0)</f>
        <v>644</v>
      </c>
      <c r="J17" s="4" t="n">
        <f aca="false">IF(A17&lt;=融资计划!G6,融资计划!H6,0)+IF(A17&lt;=融资计划!G7,融资计划!H7,0)+IF(A17&lt;=融资计划!G8,融资计划!H8,0)+IF(A17&lt;=融资计划!G9,融资计划!H9,0)+IF(A17&lt;=融资计划!G10,融资计划!H10,0)</f>
        <v>644</v>
      </c>
      <c r="K17" s="4" t="n">
        <f aca="false">I17-D17</f>
        <v>0</v>
      </c>
      <c r="L17" s="4" t="n">
        <f aca="false">J17-G17</f>
        <v>0</v>
      </c>
    </row>
    <row r="18" customFormat="false" ht="15" hidden="false" customHeight="false" outlineLevel="0" collapsed="false">
      <c r="A18" s="12" t="n">
        <v>16</v>
      </c>
      <c r="B18" s="12" t="n">
        <v>2039</v>
      </c>
      <c r="C18" s="9" t="n">
        <v>0</v>
      </c>
      <c r="D18" s="9" t="n">
        <v>644</v>
      </c>
      <c r="E18" s="4" t="n">
        <f aca="false">C18+D18</f>
        <v>644</v>
      </c>
      <c r="F18" s="9" t="n">
        <v>0</v>
      </c>
      <c r="G18" s="9" t="n">
        <v>644</v>
      </c>
      <c r="H18" s="4" t="n">
        <f aca="false">F18+G18</f>
        <v>644</v>
      </c>
      <c r="I18" s="4" t="n">
        <f aca="false">IF(A18&lt;=融资计划!G2,融资计划!H2,0)+IF(A18&lt;=融资计划!G3,融资计划!H3,0)+IF(A18&lt;=融资计划!G4,融资计划!H4,0)+IF(A18&lt;=融资计划!G5,融资计划!H5,0)</f>
        <v>644</v>
      </c>
      <c r="J18" s="4" t="n">
        <f aca="false">IF(A18&lt;=融资计划!G6,融资计划!H6,0)+IF(A18&lt;=融资计划!G7,融资计划!H7,0)+IF(A18&lt;=融资计划!G8,融资计划!H8,0)+IF(A18&lt;=融资计划!G9,融资计划!H9,0)+IF(A18&lt;=融资计划!G10,融资计划!H10,0)</f>
        <v>644</v>
      </c>
      <c r="K18" s="4" t="n">
        <f aca="false">I18-D18</f>
        <v>0</v>
      </c>
      <c r="L18" s="4" t="n">
        <f aca="false">J18-G18</f>
        <v>0</v>
      </c>
    </row>
    <row r="19" customFormat="false" ht="15" hidden="false" customHeight="false" outlineLevel="0" collapsed="false">
      <c r="A19" s="12" t="n">
        <v>17</v>
      </c>
      <c r="B19" s="12" t="n">
        <v>2040</v>
      </c>
      <c r="C19" s="9" t="n">
        <v>0</v>
      </c>
      <c r="D19" s="9" t="n">
        <v>644</v>
      </c>
      <c r="E19" s="4" t="n">
        <f aca="false">C19+D19</f>
        <v>644</v>
      </c>
      <c r="F19" s="9" t="n">
        <v>0</v>
      </c>
      <c r="G19" s="9" t="n">
        <v>644</v>
      </c>
      <c r="H19" s="4" t="n">
        <f aca="false">F19+G19</f>
        <v>644</v>
      </c>
      <c r="I19" s="4" t="n">
        <f aca="false">IF(A19&lt;=融资计划!G2,融资计划!H2,0)+IF(A19&lt;=融资计划!G3,融资计划!H3,0)+IF(A19&lt;=融资计划!G4,融资计划!H4,0)+IF(A19&lt;=融资计划!G5,融资计划!H5,0)</f>
        <v>644</v>
      </c>
      <c r="J19" s="4" t="n">
        <f aca="false">IF(A19&lt;=融资计划!G6,融资计划!H6,0)+IF(A19&lt;=融资计划!G7,融资计划!H7,0)+IF(A19&lt;=融资计划!G8,融资计划!H8,0)+IF(A19&lt;=融资计划!G9,融资计划!H9,0)+IF(A19&lt;=融资计划!G10,融资计划!H10,0)</f>
        <v>644</v>
      </c>
      <c r="K19" s="4" t="n">
        <f aca="false">I19-D19</f>
        <v>0</v>
      </c>
      <c r="L19" s="4" t="n">
        <f aca="false">J19-G19</f>
        <v>0</v>
      </c>
    </row>
    <row r="20" customFormat="false" ht="15" hidden="false" customHeight="false" outlineLevel="0" collapsed="false">
      <c r="A20" s="12" t="n">
        <v>18</v>
      </c>
      <c r="B20" s="12" t="n">
        <v>2041</v>
      </c>
      <c r="C20" s="9" t="n">
        <v>20000</v>
      </c>
      <c r="D20" s="9" t="n">
        <v>644</v>
      </c>
      <c r="E20" s="4" t="n">
        <f aca="false">C20+D20</f>
        <v>20644</v>
      </c>
      <c r="F20" s="9" t="n">
        <v>20000</v>
      </c>
      <c r="G20" s="9" t="n">
        <v>644</v>
      </c>
      <c r="H20" s="4" t="n">
        <f aca="false">F20+G20</f>
        <v>20644</v>
      </c>
      <c r="I20" s="4" t="n">
        <f aca="false">IF(A20&lt;=融资计划!G2,融资计划!H2,0)+IF(A20&lt;=融资计划!G3,融资计划!H3,0)+IF(A20&lt;=融资计划!G4,融资计划!H4,0)+IF(A20&lt;=融资计划!G5,融资计划!H5,0)</f>
        <v>644</v>
      </c>
      <c r="J20" s="4" t="n">
        <f aca="false">IF(A20&lt;=融资计划!G6,融资计划!H6,0)+IF(A20&lt;=融资计划!G7,融资计划!H7,0)+IF(A20&lt;=融资计划!G8,融资计划!H8,0)+IF(A20&lt;=融资计划!G9,融资计划!H9,0)+IF(A20&lt;=融资计划!G10,融资计划!H10,0)</f>
        <v>644</v>
      </c>
      <c r="K20" s="4" t="n">
        <f aca="false">I20-D20</f>
        <v>0</v>
      </c>
      <c r="L20" s="4" t="n">
        <f aca="false">J20-G20</f>
        <v>0</v>
      </c>
    </row>
    <row r="21" customFormat="false" ht="15" hidden="false" customHeight="false" outlineLevel="0" collapsed="false">
      <c r="A21" s="13" t="s">
        <v>206</v>
      </c>
      <c r="B21" s="13"/>
      <c r="C21" s="4" t="n">
        <f aca="false">SUM(C2:C20)</f>
        <v>34000</v>
      </c>
      <c r="D21" s="4" t="n">
        <f aca="false">SUM(D2:D20)</f>
        <v>15703</v>
      </c>
      <c r="E21" s="4" t="n">
        <f aca="false">SUM(E2:E20)</f>
        <v>49703</v>
      </c>
      <c r="F21" s="4" t="n">
        <f aca="false">SUM(F2:F20)</f>
        <v>34000</v>
      </c>
      <c r="G21" s="4" t="n">
        <f aca="false">SUM(G2:G20)</f>
        <v>17502.9</v>
      </c>
      <c r="H21" s="4" t="n">
        <f aca="false">SUM(H2:H20)</f>
        <v>51502.9</v>
      </c>
      <c r="I21" s="4" t="n">
        <f aca="false">SUM(I2:I20)</f>
        <v>15703</v>
      </c>
      <c r="J21" s="4" t="n">
        <f aca="false">SUM(J2:J20)</f>
        <v>17502.9</v>
      </c>
      <c r="K21" s="4" t="n">
        <f aca="false">SUM(K2:K20)</f>
        <v>0</v>
      </c>
      <c r="L21" s="4" t="n">
        <f aca="false">SUM(L2:L20)</f>
        <v>0</v>
      </c>
    </row>
  </sheetData>
  <autoFilter ref="A1:L21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4" min="2" style="0" width="18"/>
  </cols>
  <sheetData>
    <row r="1" customFormat="false" ht="31.5" hidden="false" customHeight="true" outlineLevel="0" collapsed="false">
      <c r="A1" s="1" t="s">
        <v>8</v>
      </c>
      <c r="B1" s="1" t="s">
        <v>249</v>
      </c>
      <c r="C1" s="1" t="s">
        <v>250</v>
      </c>
      <c r="D1" s="1" t="s">
        <v>197</v>
      </c>
      <c r="E1" s="1" t="s">
        <v>198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14</v>
      </c>
      <c r="O1" s="1" t="s">
        <v>16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</row>
    <row r="2" customFormat="false" ht="15" hidden="false" customHeight="false" outlineLevel="0" collapsed="false">
      <c r="A2" s="12" t="n">
        <v>1</v>
      </c>
      <c r="B2" s="12" t="n">
        <v>2024</v>
      </c>
      <c r="C2" s="12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</row>
    <row r="3" customFormat="false" ht="15" hidden="false" customHeight="false" outlineLevel="0" collapsed="false">
      <c r="A3" s="12" t="n">
        <v>2</v>
      </c>
      <c r="B3" s="12" t="n">
        <v>2025</v>
      </c>
      <c r="C3" s="12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</row>
    <row r="4" customFormat="false" ht="15" hidden="false" customHeight="false" outlineLevel="0" collapsed="false">
      <c r="A4" s="12" t="n">
        <v>3</v>
      </c>
      <c r="B4" s="12" t="n">
        <v>2026</v>
      </c>
      <c r="C4" s="12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</row>
    <row r="5" customFormat="false" ht="15" hidden="false" customHeight="false" outlineLevel="0" collapsed="false">
      <c r="A5" s="12" t="n">
        <v>4</v>
      </c>
      <c r="B5" s="12" t="n">
        <v>2027</v>
      </c>
      <c r="C5" s="12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</row>
    <row r="6" customFormat="false" ht="15" hidden="false" customHeight="false" outlineLevel="0" collapsed="false">
      <c r="A6" s="12" t="n">
        <v>5</v>
      </c>
      <c r="B6" s="12" t="n">
        <v>2028</v>
      </c>
      <c r="C6" s="12" t="n">
        <v>1</v>
      </c>
      <c r="D6" s="4" t="n">
        <f aca="false">参数!$B$2*(1+参数!$B$4)^MIN(C6-1,4)*(1+参数!$B$5)^MIN(MAX(C6-5,0),5)*(1+参数!$B$6)^MAX(C6-10,0)</f>
        <v>7500</v>
      </c>
      <c r="E6" s="4" t="n">
        <f aca="false">参数!$B$3*(1+参数!$B$4)^MIN(C6-1,4)*(1+参数!$B$5)^MIN(MAX(C6-5,0),5)*(1+参数!$B$6)^MAX(C6-10,0)</f>
        <v>850</v>
      </c>
      <c r="F6" s="4" t="n">
        <f aca="false">D6+E6</f>
        <v>8350</v>
      </c>
      <c r="G6" s="4" t="n">
        <f aca="false">参数!$B$9+INT((C6-1)/5)*参数!$B$20</f>
        <v>1.5</v>
      </c>
      <c r="H6" s="4" t="n">
        <f aca="false">参数!$B$14+INT((C6-1)/5)*参数!$B$20</f>
        <v>1</v>
      </c>
      <c r="I6" s="4" t="n">
        <f aca="false">IF(C6&lt;=5,参数!$B$12,参数!$B$13)</f>
        <v>0.8</v>
      </c>
      <c r="J6" s="4" t="n">
        <f aca="false">IF(C6&lt;=5,参数!$B$17,参数!$B$18)</f>
        <v>0.9</v>
      </c>
      <c r="K6" s="4" t="n">
        <f aca="false">参数!$B$7*参数!$B$8*(参数!$B$10*2*G6*参数!$B$11*I6+参数!$B$15*2*H6*参数!$B$16*J6)/10000</f>
        <v>670.14</v>
      </c>
      <c r="L6" s="4" t="n">
        <f aca="false">参数!$B$7*参数!$B$8*(参数!$B$10*2*参数!$B$9*参数!$B$11*I6+MIN(参数!$B$15*2*参数!$B$14,参数!$B$19)*参数!$B$16*J6)/10000</f>
        <v>512.46</v>
      </c>
      <c r="M6" s="4" t="n">
        <f aca="false">原表收入!F6</f>
        <v>214.44</v>
      </c>
      <c r="N6" s="4" t="n">
        <f aca="false">参数!$B$7*参数!$B$21*参数!$B$22*参数!$B$23*参数!$B$24*参数!$B$8/10000*IF(C6&lt;=5,1,IF(C6&lt;=10,1+参数!$B$25,(1+参数!$B$25)*(1+参数!$B$26)))</f>
        <v>214.4448</v>
      </c>
      <c r="O6" s="4" t="n">
        <f aca="false">参数!$B$7*参数!$B$21*参数!$B$22*参数!$B$23*参数!$B$24*参数!$B$8/10000*(1+参数!$B$26)^INT((C6-1)/5)</f>
        <v>214.4448</v>
      </c>
      <c r="P6" s="4" t="n">
        <f aca="false">SUM(参数!$B$27:$B$32)*(1+参数!$B$33)^(C6-1)</f>
        <v>7355</v>
      </c>
      <c r="Q6" s="4" t="n">
        <f aca="false">原表收入!G6</f>
        <v>9234.58</v>
      </c>
      <c r="R6" s="4" t="n">
        <f aca="false">F6+L6+M6</f>
        <v>9076.9</v>
      </c>
      <c r="S6" s="4" t="n">
        <f aca="false">F6+L6+N6</f>
        <v>9076.9048</v>
      </c>
      <c r="T6" s="4" t="n">
        <f aca="false">F6+L6+O6</f>
        <v>9076.9048</v>
      </c>
      <c r="U6" s="4" t="n">
        <f aca="false">原表费用!J6</f>
        <v>7539.69</v>
      </c>
      <c r="V6" s="4" t="n">
        <f aca="false">Q6-U6</f>
        <v>1694.89</v>
      </c>
      <c r="W6" s="4" t="n">
        <f aca="false">原表费用!I6</f>
        <v>184.69</v>
      </c>
      <c r="X6" s="4" t="n">
        <f aca="false">K6-原表收入!E6</f>
        <v>0</v>
      </c>
    </row>
    <row r="7" customFormat="false" ht="15" hidden="false" customHeight="false" outlineLevel="0" collapsed="false">
      <c r="A7" s="12" t="n">
        <v>6</v>
      </c>
      <c r="B7" s="12" t="n">
        <v>2029</v>
      </c>
      <c r="C7" s="12" t="n">
        <v>2</v>
      </c>
      <c r="D7" s="4" t="n">
        <f aca="false">参数!$B$2*(1+参数!$B$4)^MIN(C7-1,4)*(1+参数!$B$5)^MIN(MAX(C7-5,0),5)*(1+参数!$B$6)^MAX(C7-10,0)</f>
        <v>8250</v>
      </c>
      <c r="E7" s="4" t="n">
        <f aca="false">参数!$B$3*(1+参数!$B$4)^MIN(C7-1,4)*(1+参数!$B$5)^MIN(MAX(C7-5,0),5)*(1+参数!$B$6)^MAX(C7-10,0)</f>
        <v>935</v>
      </c>
      <c r="F7" s="4" t="n">
        <f aca="false">D7+E7</f>
        <v>9185</v>
      </c>
      <c r="G7" s="4" t="n">
        <f aca="false">参数!$B$9+INT((C7-1)/5)*参数!$B$20</f>
        <v>1.5</v>
      </c>
      <c r="H7" s="4" t="n">
        <f aca="false">参数!$B$14+INT((C7-1)/5)*参数!$B$20</f>
        <v>1</v>
      </c>
      <c r="I7" s="4" t="n">
        <f aca="false">IF(C7&lt;=5,参数!$B$12,参数!$B$13)</f>
        <v>0.8</v>
      </c>
      <c r="J7" s="4" t="n">
        <f aca="false">IF(C7&lt;=5,参数!$B$17,参数!$B$18)</f>
        <v>0.9</v>
      </c>
      <c r="K7" s="4" t="n">
        <f aca="false">参数!$B$7*参数!$B$8*(参数!$B$10*2*G7*参数!$B$11*I7+参数!$B$15*2*H7*参数!$B$16*J7)/10000</f>
        <v>670.14</v>
      </c>
      <c r="L7" s="4" t="n">
        <f aca="false">参数!$B$7*参数!$B$8*(参数!$B$10*2*参数!$B$9*参数!$B$11*I7+MIN(参数!$B$15*2*参数!$B$14,参数!$B$19)*参数!$B$16*J7)/10000</f>
        <v>512.46</v>
      </c>
      <c r="M7" s="4" t="n">
        <f aca="false">原表收入!F7</f>
        <v>268.05</v>
      </c>
      <c r="N7" s="4" t="n">
        <f aca="false">参数!$B$7*参数!$B$21*参数!$B$22*参数!$B$23*参数!$B$24*参数!$B$8/10000*IF(C7&lt;=5,1,IF(C7&lt;=10,1+参数!$B$25,(1+参数!$B$25)*(1+参数!$B$26)))</f>
        <v>214.4448</v>
      </c>
      <c r="O7" s="4" t="n">
        <f aca="false">参数!$B$7*参数!$B$21*参数!$B$22*参数!$B$23*参数!$B$24*参数!$B$8/10000*(1+参数!$B$26)^INT((C7-1)/5)</f>
        <v>214.4448</v>
      </c>
      <c r="P7" s="4" t="n">
        <f aca="false">SUM(参数!$B$27:$B$32)*(1+参数!$B$33)^(C7-1)</f>
        <v>7575.65</v>
      </c>
      <c r="Q7" s="4" t="n">
        <f aca="false">原表收入!G7</f>
        <v>10123.19</v>
      </c>
      <c r="R7" s="4" t="n">
        <f aca="false">F7+L7+M7</f>
        <v>9965.51</v>
      </c>
      <c r="S7" s="4" t="n">
        <f aca="false">F7+L7+N7</f>
        <v>9911.9048</v>
      </c>
      <c r="T7" s="4" t="n">
        <f aca="false">F7+L7+O7</f>
        <v>9911.9048</v>
      </c>
      <c r="U7" s="4" t="n">
        <f aca="false">原表费用!J7</f>
        <v>7778.11</v>
      </c>
      <c r="V7" s="4" t="n">
        <f aca="false">Q7-U7</f>
        <v>2345.08</v>
      </c>
      <c r="W7" s="4" t="n">
        <f aca="false">原表费用!I7</f>
        <v>202.46</v>
      </c>
      <c r="X7" s="4" t="n">
        <f aca="false">K7-原表收入!E7</f>
        <v>0</v>
      </c>
    </row>
    <row r="8" customFormat="false" ht="15" hidden="false" customHeight="false" outlineLevel="0" collapsed="false">
      <c r="A8" s="12" t="n">
        <v>7</v>
      </c>
      <c r="B8" s="12" t="n">
        <v>2030</v>
      </c>
      <c r="C8" s="12" t="n">
        <v>3</v>
      </c>
      <c r="D8" s="4" t="n">
        <f aca="false">参数!$B$2*(1+参数!$B$4)^MIN(C8-1,4)*(1+参数!$B$5)^MIN(MAX(C8-5,0),5)*(1+参数!$B$6)^MAX(C8-10,0)</f>
        <v>9075</v>
      </c>
      <c r="E8" s="4" t="n">
        <f aca="false">参数!$B$3*(1+参数!$B$4)^MIN(C8-1,4)*(1+参数!$B$5)^MIN(MAX(C8-5,0),5)*(1+参数!$B$6)^MAX(C8-10,0)</f>
        <v>1028.5</v>
      </c>
      <c r="F8" s="4" t="n">
        <f aca="false">D8+E8</f>
        <v>10103.5</v>
      </c>
      <c r="G8" s="4" t="n">
        <f aca="false">参数!$B$9+INT((C8-1)/5)*参数!$B$20</f>
        <v>1.5</v>
      </c>
      <c r="H8" s="4" t="n">
        <f aca="false">参数!$B$14+INT((C8-1)/5)*参数!$B$20</f>
        <v>1</v>
      </c>
      <c r="I8" s="4" t="n">
        <f aca="false">IF(C8&lt;=5,参数!$B$12,参数!$B$13)</f>
        <v>0.8</v>
      </c>
      <c r="J8" s="4" t="n">
        <f aca="false">IF(C8&lt;=5,参数!$B$17,参数!$B$18)</f>
        <v>0.9</v>
      </c>
      <c r="K8" s="4" t="n">
        <f aca="false">参数!$B$7*参数!$B$8*(参数!$B$10*2*G8*参数!$B$11*I8+参数!$B$15*2*H8*参数!$B$16*J8)/10000</f>
        <v>670.14</v>
      </c>
      <c r="L8" s="4" t="n">
        <f aca="false">参数!$B$7*参数!$B$8*(参数!$B$10*2*参数!$B$9*参数!$B$11*I8+MIN(参数!$B$15*2*参数!$B$14,参数!$B$19)*参数!$B$16*J8)/10000</f>
        <v>512.46</v>
      </c>
      <c r="M8" s="4" t="n">
        <f aca="false">原表收入!F8</f>
        <v>268.05</v>
      </c>
      <c r="N8" s="4" t="n">
        <f aca="false">参数!$B$7*参数!$B$21*参数!$B$22*参数!$B$23*参数!$B$24*参数!$B$8/10000*IF(C8&lt;=5,1,IF(C8&lt;=10,1+参数!$B$25,(1+参数!$B$25)*(1+参数!$B$26)))</f>
        <v>214.4448</v>
      </c>
      <c r="O8" s="4" t="n">
        <f aca="false">参数!$B$7*参数!$B$21*参数!$B$22*参数!$B$23*参数!$B$24*参数!$B$8/10000*(1+参数!$B$26)^INT((C8-1)/5)</f>
        <v>214.4448</v>
      </c>
      <c r="P8" s="4" t="n">
        <f aca="false">SUM(参数!$B$27:$B$32)*(1+参数!$B$33)^(C8-1)</f>
        <v>7802.9195</v>
      </c>
      <c r="Q8" s="4" t="n">
        <f aca="false">原表收入!G8</f>
        <v>11041.69</v>
      </c>
      <c r="R8" s="4" t="n">
        <f aca="false">F8+L8+M8</f>
        <v>10884.01</v>
      </c>
      <c r="S8" s="4" t="n">
        <f aca="false">F8+L8+N8</f>
        <v>10830.4048</v>
      </c>
      <c r="T8" s="4" t="n">
        <f aca="false">F8+L8+O8</f>
        <v>10830.4048</v>
      </c>
      <c r="U8" s="4" t="n">
        <f aca="false">原表费用!J8</f>
        <v>8023.74</v>
      </c>
      <c r="V8" s="4" t="n">
        <f aca="false">Q8-U8</f>
        <v>3017.95</v>
      </c>
      <c r="W8" s="4" t="n">
        <f aca="false">原表费用!I8</f>
        <v>220.83</v>
      </c>
      <c r="X8" s="4" t="n">
        <f aca="false">K8-原表收入!E8</f>
        <v>0</v>
      </c>
    </row>
    <row r="9" customFormat="false" ht="15" hidden="false" customHeight="false" outlineLevel="0" collapsed="false">
      <c r="A9" s="12" t="n">
        <v>8</v>
      </c>
      <c r="B9" s="12" t="n">
        <v>2031</v>
      </c>
      <c r="C9" s="12" t="n">
        <v>4</v>
      </c>
      <c r="D9" s="4" t="n">
        <f aca="false">参数!$B$2*(1+参数!$B$4)^MIN(C9-1,4)*(1+参数!$B$5)^MIN(MAX(C9-5,0),5)*(1+参数!$B$6)^MAX(C9-10,0)</f>
        <v>9982.5</v>
      </c>
      <c r="E9" s="4" t="n">
        <f aca="false">参数!$B$3*(1+参数!$B$4)^MIN(C9-1,4)*(1+参数!$B$5)^MIN(MAX(C9-5,0),5)*(1+参数!$B$6)^MAX(C9-10,0)</f>
        <v>1131.35</v>
      </c>
      <c r="F9" s="4" t="n">
        <f aca="false">D9+E9</f>
        <v>11113.85</v>
      </c>
      <c r="G9" s="4" t="n">
        <f aca="false">参数!$B$9+INT((C9-1)/5)*参数!$B$20</f>
        <v>1.5</v>
      </c>
      <c r="H9" s="4" t="n">
        <f aca="false">参数!$B$14+INT((C9-1)/5)*参数!$B$20</f>
        <v>1</v>
      </c>
      <c r="I9" s="4" t="n">
        <f aca="false">IF(C9&lt;=5,参数!$B$12,参数!$B$13)</f>
        <v>0.8</v>
      </c>
      <c r="J9" s="4" t="n">
        <f aca="false">IF(C9&lt;=5,参数!$B$17,参数!$B$18)</f>
        <v>0.9</v>
      </c>
      <c r="K9" s="4" t="n">
        <f aca="false">参数!$B$7*参数!$B$8*(参数!$B$10*2*G9*参数!$B$11*I9+参数!$B$15*2*H9*参数!$B$16*J9)/10000</f>
        <v>670.14</v>
      </c>
      <c r="L9" s="4" t="n">
        <f aca="false">参数!$B$7*参数!$B$8*(参数!$B$10*2*参数!$B$9*参数!$B$11*I9+MIN(参数!$B$15*2*参数!$B$14,参数!$B$19)*参数!$B$16*J9)/10000</f>
        <v>512.46</v>
      </c>
      <c r="M9" s="4" t="n">
        <f aca="false">原表收入!F9</f>
        <v>268.05</v>
      </c>
      <c r="N9" s="4" t="n">
        <f aca="false">参数!$B$7*参数!$B$21*参数!$B$22*参数!$B$23*参数!$B$24*参数!$B$8/10000*IF(C9&lt;=5,1,IF(C9&lt;=10,1+参数!$B$25,(1+参数!$B$25)*(1+参数!$B$26)))</f>
        <v>214.4448</v>
      </c>
      <c r="O9" s="4" t="n">
        <f aca="false">参数!$B$7*参数!$B$21*参数!$B$22*参数!$B$23*参数!$B$24*参数!$B$8/10000*(1+参数!$B$26)^INT((C9-1)/5)</f>
        <v>214.4448</v>
      </c>
      <c r="P9" s="4" t="n">
        <f aca="false">SUM(参数!$B$27:$B$32)*(1+参数!$B$33)^(C9-1)</f>
        <v>8037.007085</v>
      </c>
      <c r="Q9" s="4" t="n">
        <f aca="false">原表收入!G9</f>
        <v>12052.04</v>
      </c>
      <c r="R9" s="4" t="n">
        <f aca="false">F9+L9+M9</f>
        <v>11894.36</v>
      </c>
      <c r="S9" s="4" t="n">
        <f aca="false">F9+L9+N9</f>
        <v>11840.7548</v>
      </c>
      <c r="T9" s="4" t="n">
        <f aca="false">F9+L9+O9</f>
        <v>11840.7548</v>
      </c>
      <c r="U9" s="4" t="n">
        <f aca="false">原表费用!J9</f>
        <v>8278.04</v>
      </c>
      <c r="V9" s="4" t="n">
        <f aca="false">Q9-U9</f>
        <v>3774</v>
      </c>
      <c r="W9" s="4" t="n">
        <f aca="false">原表费用!I9</f>
        <v>241.04</v>
      </c>
      <c r="X9" s="4" t="n">
        <f aca="false">K9-原表收入!E9</f>
        <v>0</v>
      </c>
    </row>
    <row r="10" customFormat="false" ht="15" hidden="false" customHeight="false" outlineLevel="0" collapsed="false">
      <c r="A10" s="12" t="n">
        <v>9</v>
      </c>
      <c r="B10" s="12" t="n">
        <v>2032</v>
      </c>
      <c r="C10" s="12" t="n">
        <v>5</v>
      </c>
      <c r="D10" s="4" t="n">
        <f aca="false">参数!$B$2*(1+参数!$B$4)^MIN(C10-1,4)*(1+参数!$B$5)^MIN(MAX(C10-5,0),5)*(1+参数!$B$6)^MAX(C10-10,0)</f>
        <v>10980.75</v>
      </c>
      <c r="E10" s="4" t="n">
        <f aca="false">参数!$B$3*(1+参数!$B$4)^MIN(C10-1,4)*(1+参数!$B$5)^MIN(MAX(C10-5,0),5)*(1+参数!$B$6)^MAX(C10-10,0)</f>
        <v>1244.485</v>
      </c>
      <c r="F10" s="4" t="n">
        <f aca="false">D10+E10</f>
        <v>12225.235</v>
      </c>
      <c r="G10" s="4" t="n">
        <f aca="false">参数!$B$9+INT((C10-1)/5)*参数!$B$20</f>
        <v>1.5</v>
      </c>
      <c r="H10" s="4" t="n">
        <f aca="false">参数!$B$14+INT((C10-1)/5)*参数!$B$20</f>
        <v>1</v>
      </c>
      <c r="I10" s="4" t="n">
        <f aca="false">IF(C10&lt;=5,参数!$B$12,参数!$B$13)</f>
        <v>0.8</v>
      </c>
      <c r="J10" s="4" t="n">
        <f aca="false">IF(C10&lt;=5,参数!$B$17,参数!$B$18)</f>
        <v>0.9</v>
      </c>
      <c r="K10" s="4" t="n">
        <f aca="false">参数!$B$7*参数!$B$8*(参数!$B$10*2*G10*参数!$B$11*I10+参数!$B$15*2*H10*参数!$B$16*J10)/10000</f>
        <v>670.14</v>
      </c>
      <c r="L10" s="4" t="n">
        <f aca="false">参数!$B$7*参数!$B$8*(参数!$B$10*2*参数!$B$9*参数!$B$11*I10+MIN(参数!$B$15*2*参数!$B$14,参数!$B$19)*参数!$B$16*J10)/10000</f>
        <v>512.46</v>
      </c>
      <c r="M10" s="4" t="n">
        <f aca="false">原表收入!F10</f>
        <v>268.05</v>
      </c>
      <c r="N10" s="4" t="n">
        <f aca="false">参数!$B$7*参数!$B$21*参数!$B$22*参数!$B$23*参数!$B$24*参数!$B$8/10000*IF(C10&lt;=5,1,IF(C10&lt;=10,1+参数!$B$25,(1+参数!$B$25)*(1+参数!$B$26)))</f>
        <v>214.4448</v>
      </c>
      <c r="O10" s="4" t="n">
        <f aca="false">参数!$B$7*参数!$B$21*参数!$B$22*参数!$B$23*参数!$B$24*参数!$B$8/10000*(1+参数!$B$26)^INT((C10-1)/5)</f>
        <v>214.4448</v>
      </c>
      <c r="P10" s="4" t="n">
        <f aca="false">SUM(参数!$B$27:$B$32)*(1+参数!$B$33)^(C10-1)</f>
        <v>8278.11729755</v>
      </c>
      <c r="Q10" s="4" t="n">
        <f aca="false">原表收入!G10</f>
        <v>13163.43</v>
      </c>
      <c r="R10" s="4" t="n">
        <f aca="false">F10+L10+M10</f>
        <v>13005.745</v>
      </c>
      <c r="S10" s="4" t="n">
        <f aca="false">F10+L10+N10</f>
        <v>12952.1398</v>
      </c>
      <c r="T10" s="4" t="n">
        <f aca="false">F10+L10+O10</f>
        <v>12952.1398</v>
      </c>
      <c r="U10" s="4" t="n">
        <f aca="false">原表费用!J10</f>
        <v>8541.38</v>
      </c>
      <c r="V10" s="4" t="n">
        <f aca="false">Q10-U10</f>
        <v>4622.05</v>
      </c>
      <c r="W10" s="4" t="n">
        <f aca="false">原表费用!I10</f>
        <v>263.27</v>
      </c>
      <c r="X10" s="4" t="n">
        <f aca="false">K10-原表收入!E10</f>
        <v>0</v>
      </c>
    </row>
    <row r="11" customFormat="false" ht="15" hidden="false" customHeight="false" outlineLevel="0" collapsed="false">
      <c r="A11" s="12" t="n">
        <v>10</v>
      </c>
      <c r="B11" s="12" t="n">
        <v>2033</v>
      </c>
      <c r="C11" s="12" t="n">
        <v>6</v>
      </c>
      <c r="D11" s="4" t="n">
        <f aca="false">参数!$B$2*(1+参数!$B$4)^MIN(C11-1,4)*(1+参数!$B$5)^MIN(MAX(C11-5,0),5)*(1+参数!$B$6)^MAX(C11-10,0)</f>
        <v>11529.7875</v>
      </c>
      <c r="E11" s="4" t="n">
        <f aca="false">参数!$B$3*(1+参数!$B$4)^MIN(C11-1,4)*(1+参数!$B$5)^MIN(MAX(C11-5,0),5)*(1+参数!$B$6)^MAX(C11-10,0)</f>
        <v>1306.70925</v>
      </c>
      <c r="F11" s="4" t="n">
        <f aca="false">D11+E11</f>
        <v>12836.49675</v>
      </c>
      <c r="G11" s="4" t="n">
        <f aca="false">参数!$B$9+INT((C11-1)/5)*参数!$B$20</f>
        <v>2</v>
      </c>
      <c r="H11" s="4" t="n">
        <f aca="false">参数!$B$14+INT((C11-1)/5)*参数!$B$20</f>
        <v>1.5</v>
      </c>
      <c r="I11" s="4" t="n">
        <f aca="false">IF(C11&lt;=5,参数!$B$12,参数!$B$13)</f>
        <v>0.95</v>
      </c>
      <c r="J11" s="4" t="n">
        <f aca="false">IF(C11&lt;=5,参数!$B$17,参数!$B$18)</f>
        <v>0.95</v>
      </c>
      <c r="K11" s="4" t="n">
        <f aca="false">参数!$B$7*参数!$B$8*(参数!$B$10*2*G11*参数!$B$11*I11+参数!$B$15*2*H11*参数!$B$16*J11)/10000</f>
        <v>1061.055</v>
      </c>
      <c r="L11" s="4" t="n">
        <f aca="false">参数!$B$7*参数!$B$8*(参数!$B$10*2*参数!$B$9*参数!$B$11*I11+MIN(参数!$B$15*2*参数!$B$14,参数!$B$19)*参数!$B$16*J11)/10000</f>
        <v>582.54</v>
      </c>
      <c r="M11" s="4" t="n">
        <f aca="false">原表收入!F11</f>
        <v>294.86</v>
      </c>
      <c r="N11" s="4" t="n">
        <f aca="false">参数!$B$7*参数!$B$21*参数!$B$22*参数!$B$23*参数!$B$24*参数!$B$8/10000*IF(C11&lt;=5,1,IF(C11&lt;=10,1+参数!$B$25,(1+参数!$B$25)*(1+参数!$B$26)))</f>
        <v>268.056</v>
      </c>
      <c r="O11" s="4" t="n">
        <f aca="false">参数!$B$7*参数!$B$21*参数!$B$22*参数!$B$23*参数!$B$24*参数!$B$8/10000*(1+参数!$B$26)^INT((C11-1)/5)</f>
        <v>235.88928</v>
      </c>
      <c r="P11" s="4" t="n">
        <f aca="false">SUM(参数!$B$27:$B$32)*(1+参数!$B$33)^(C11-1)</f>
        <v>8526.4608164765</v>
      </c>
      <c r="Q11" s="4" t="n">
        <f aca="false">原表收入!G11</f>
        <v>14139.86</v>
      </c>
      <c r="R11" s="4" t="n">
        <f aca="false">F11+L11+M11</f>
        <v>13713.89675</v>
      </c>
      <c r="S11" s="4" t="n">
        <f aca="false">F11+L11+N11</f>
        <v>13687.09275</v>
      </c>
      <c r="T11" s="4" t="n">
        <f aca="false">F11+L11+O11</f>
        <v>13654.92603</v>
      </c>
      <c r="U11" s="4" t="n">
        <f aca="false">原表费用!J11</f>
        <v>8809.27</v>
      </c>
      <c r="V11" s="4" t="n">
        <f aca="false">Q11-U11</f>
        <v>5330.59</v>
      </c>
      <c r="W11" s="4" t="n">
        <f aca="false">原表费用!I11</f>
        <v>282.8</v>
      </c>
      <c r="X11" s="4" t="n">
        <f aca="false">K11-原表收入!E11</f>
        <v>52.5549999999998</v>
      </c>
    </row>
    <row r="12" customFormat="false" ht="15" hidden="false" customHeight="false" outlineLevel="0" collapsed="false">
      <c r="A12" s="12" t="n">
        <v>11</v>
      </c>
      <c r="B12" s="12" t="n">
        <v>2034</v>
      </c>
      <c r="C12" s="12" t="n">
        <v>7</v>
      </c>
      <c r="D12" s="4" t="n">
        <f aca="false">参数!$B$2*(1+参数!$B$4)^MIN(C12-1,4)*(1+参数!$B$5)^MIN(MAX(C12-5,0),5)*(1+参数!$B$6)^MAX(C12-10,0)</f>
        <v>12106.276875</v>
      </c>
      <c r="E12" s="4" t="n">
        <f aca="false">参数!$B$3*(1+参数!$B$4)^MIN(C12-1,4)*(1+参数!$B$5)^MIN(MAX(C12-5,0),5)*(1+参数!$B$6)^MAX(C12-10,0)</f>
        <v>1372.0447125</v>
      </c>
      <c r="F12" s="4" t="n">
        <f aca="false">D12+E12</f>
        <v>13478.3215875</v>
      </c>
      <c r="G12" s="4" t="n">
        <f aca="false">参数!$B$9+INT((C12-1)/5)*参数!$B$20</f>
        <v>2</v>
      </c>
      <c r="H12" s="4" t="n">
        <f aca="false">参数!$B$14+INT((C12-1)/5)*参数!$B$20</f>
        <v>1.5</v>
      </c>
      <c r="I12" s="4" t="n">
        <f aca="false">IF(C12&lt;=5,参数!$B$12,参数!$B$13)</f>
        <v>0.95</v>
      </c>
      <c r="J12" s="4" t="n">
        <f aca="false">IF(C12&lt;=5,参数!$B$17,参数!$B$18)</f>
        <v>0.95</v>
      </c>
      <c r="K12" s="4" t="n">
        <f aca="false">参数!$B$7*参数!$B$8*(参数!$B$10*2*G12*参数!$B$11*I12+参数!$B$15*2*H12*参数!$B$16*J12)/10000</f>
        <v>1061.055</v>
      </c>
      <c r="L12" s="4" t="n">
        <f aca="false">参数!$B$7*参数!$B$8*(参数!$B$10*2*参数!$B$9*参数!$B$11*I12+MIN(参数!$B$15*2*参数!$B$14,参数!$B$19)*参数!$B$16*J12)/10000</f>
        <v>582.54</v>
      </c>
      <c r="M12" s="4" t="n">
        <f aca="false">原表收入!F12</f>
        <v>294.86</v>
      </c>
      <c r="N12" s="4" t="n">
        <f aca="false">参数!$B$7*参数!$B$21*参数!$B$22*参数!$B$23*参数!$B$24*参数!$B$8/10000*IF(C12&lt;=5,1,IF(C12&lt;=10,1+参数!$B$25,(1+参数!$B$25)*(1+参数!$B$26)))</f>
        <v>268.056</v>
      </c>
      <c r="O12" s="4" t="n">
        <f aca="false">参数!$B$7*参数!$B$21*参数!$B$22*参数!$B$23*参数!$B$24*参数!$B$8/10000*(1+参数!$B$26)^INT((C12-1)/5)</f>
        <v>235.88928</v>
      </c>
      <c r="P12" s="4" t="n">
        <f aca="false">SUM(参数!$B$27:$B$32)*(1+参数!$B$33)^(C12-1)</f>
        <v>8782.2546409708</v>
      </c>
      <c r="Q12" s="4" t="n">
        <f aca="false">原表收入!G12</f>
        <v>14781.69</v>
      </c>
      <c r="R12" s="4" t="n">
        <f aca="false">F12+L12+M12</f>
        <v>14355.7215875</v>
      </c>
      <c r="S12" s="4" t="n">
        <f aca="false">F12+L12+N12</f>
        <v>14328.9175875</v>
      </c>
      <c r="T12" s="4" t="n">
        <f aca="false">F12+L12+O12</f>
        <v>14296.7508675</v>
      </c>
      <c r="U12" s="4" t="n">
        <f aca="false">原表费用!J12</f>
        <v>9077.89</v>
      </c>
      <c r="V12" s="4" t="n">
        <f aca="false">Q12-U12</f>
        <v>5703.8</v>
      </c>
      <c r="W12" s="4" t="n">
        <f aca="false">原表费用!I12</f>
        <v>295.63</v>
      </c>
      <c r="X12" s="4" t="n">
        <f aca="false">K12-原表收入!E12</f>
        <v>52.5549999999998</v>
      </c>
    </row>
    <row r="13" customFormat="false" ht="15" hidden="false" customHeight="false" outlineLevel="0" collapsed="false">
      <c r="A13" s="12" t="n">
        <v>12</v>
      </c>
      <c r="B13" s="12" t="n">
        <v>2035</v>
      </c>
      <c r="C13" s="12" t="n">
        <v>8</v>
      </c>
      <c r="D13" s="4" t="n">
        <f aca="false">参数!$B$2*(1+参数!$B$4)^MIN(C13-1,4)*(1+参数!$B$5)^MIN(MAX(C13-5,0),5)*(1+参数!$B$6)^MAX(C13-10,0)</f>
        <v>12711.59071875</v>
      </c>
      <c r="E13" s="4" t="n">
        <f aca="false">参数!$B$3*(1+参数!$B$4)^MIN(C13-1,4)*(1+参数!$B$5)^MIN(MAX(C13-5,0),5)*(1+参数!$B$6)^MAX(C13-10,0)</f>
        <v>1440.646948125</v>
      </c>
      <c r="F13" s="4" t="n">
        <f aca="false">D13+E13</f>
        <v>14152.237666875</v>
      </c>
      <c r="G13" s="4" t="n">
        <f aca="false">参数!$B$9+INT((C13-1)/5)*参数!$B$20</f>
        <v>2</v>
      </c>
      <c r="H13" s="4" t="n">
        <f aca="false">参数!$B$14+INT((C13-1)/5)*参数!$B$20</f>
        <v>1.5</v>
      </c>
      <c r="I13" s="4" t="n">
        <f aca="false">IF(C13&lt;=5,参数!$B$12,参数!$B$13)</f>
        <v>0.95</v>
      </c>
      <c r="J13" s="4" t="n">
        <f aca="false">IF(C13&lt;=5,参数!$B$17,参数!$B$18)</f>
        <v>0.95</v>
      </c>
      <c r="K13" s="4" t="n">
        <f aca="false">参数!$B$7*参数!$B$8*(参数!$B$10*2*G13*参数!$B$11*I13+参数!$B$15*2*H13*参数!$B$16*J13)/10000</f>
        <v>1061.055</v>
      </c>
      <c r="L13" s="4" t="n">
        <f aca="false">参数!$B$7*参数!$B$8*(参数!$B$10*2*参数!$B$9*参数!$B$11*I13+MIN(参数!$B$15*2*参数!$B$14,参数!$B$19)*参数!$B$16*J13)/10000</f>
        <v>582.54</v>
      </c>
      <c r="M13" s="4" t="n">
        <f aca="false">原表收入!F13</f>
        <v>294.86</v>
      </c>
      <c r="N13" s="4" t="n">
        <f aca="false">参数!$B$7*参数!$B$21*参数!$B$22*参数!$B$23*参数!$B$24*参数!$B$8/10000*IF(C13&lt;=5,1,IF(C13&lt;=10,1+参数!$B$25,(1+参数!$B$25)*(1+参数!$B$26)))</f>
        <v>268.056</v>
      </c>
      <c r="O13" s="4" t="n">
        <f aca="false">参数!$B$7*参数!$B$21*参数!$B$22*参数!$B$23*参数!$B$24*参数!$B$8/10000*(1+参数!$B$26)^INT((C13-1)/5)</f>
        <v>235.88928</v>
      </c>
      <c r="P13" s="4" t="n">
        <f aca="false">SUM(参数!$B$27:$B$32)*(1+参数!$B$33)^(C13-1)</f>
        <v>9045.72228019992</v>
      </c>
      <c r="Q13" s="4" t="n">
        <f aca="false">原表收入!G13</f>
        <v>15455.6</v>
      </c>
      <c r="R13" s="4" t="n">
        <f aca="false">F13+L13+M13</f>
        <v>15029.637666875</v>
      </c>
      <c r="S13" s="4" t="n">
        <f aca="false">F13+L13+N13</f>
        <v>15002.833666875</v>
      </c>
      <c r="T13" s="4" t="n">
        <f aca="false">F13+L13+O13</f>
        <v>14970.666946875</v>
      </c>
      <c r="U13" s="4" t="n">
        <f aca="false">原表费用!J13</f>
        <v>9354.85</v>
      </c>
      <c r="V13" s="4" t="n">
        <f aca="false">Q13-U13</f>
        <v>6100.75</v>
      </c>
      <c r="W13" s="4" t="n">
        <f aca="false">原表费用!I13</f>
        <v>309.11</v>
      </c>
      <c r="X13" s="4" t="n">
        <f aca="false">K13-原表收入!E13</f>
        <v>52.5549999999998</v>
      </c>
    </row>
    <row r="14" customFormat="false" ht="15" hidden="false" customHeight="false" outlineLevel="0" collapsed="false">
      <c r="A14" s="12" t="n">
        <v>13</v>
      </c>
      <c r="B14" s="12" t="n">
        <v>2036</v>
      </c>
      <c r="C14" s="12" t="n">
        <v>9</v>
      </c>
      <c r="D14" s="4" t="n">
        <f aca="false">参数!$B$2*(1+参数!$B$4)^MIN(C14-1,4)*(1+参数!$B$5)^MIN(MAX(C14-5,0),5)*(1+参数!$B$6)^MAX(C14-10,0)</f>
        <v>13347.1702546875</v>
      </c>
      <c r="E14" s="4" t="n">
        <f aca="false">参数!$B$3*(1+参数!$B$4)^MIN(C14-1,4)*(1+参数!$B$5)^MIN(MAX(C14-5,0),5)*(1+参数!$B$6)^MAX(C14-10,0)</f>
        <v>1512.67929553125</v>
      </c>
      <c r="F14" s="4" t="n">
        <f aca="false">D14+E14</f>
        <v>14859.8495502188</v>
      </c>
      <c r="G14" s="4" t="n">
        <f aca="false">参数!$B$9+INT((C14-1)/5)*参数!$B$20</f>
        <v>2</v>
      </c>
      <c r="H14" s="4" t="n">
        <f aca="false">参数!$B$14+INT((C14-1)/5)*参数!$B$20</f>
        <v>1.5</v>
      </c>
      <c r="I14" s="4" t="n">
        <f aca="false">IF(C14&lt;=5,参数!$B$12,参数!$B$13)</f>
        <v>0.95</v>
      </c>
      <c r="J14" s="4" t="n">
        <f aca="false">IF(C14&lt;=5,参数!$B$17,参数!$B$18)</f>
        <v>0.95</v>
      </c>
      <c r="K14" s="4" t="n">
        <f aca="false">参数!$B$7*参数!$B$8*(参数!$B$10*2*G14*参数!$B$11*I14+参数!$B$15*2*H14*参数!$B$16*J14)/10000</f>
        <v>1061.055</v>
      </c>
      <c r="L14" s="4" t="n">
        <f aca="false">参数!$B$7*参数!$B$8*(参数!$B$10*2*参数!$B$9*参数!$B$11*I14+MIN(参数!$B$15*2*参数!$B$14,参数!$B$19)*参数!$B$16*J14)/10000</f>
        <v>582.54</v>
      </c>
      <c r="M14" s="4" t="n">
        <f aca="false">原表收入!F14</f>
        <v>294.86</v>
      </c>
      <c r="N14" s="4" t="n">
        <f aca="false">参数!$B$7*参数!$B$21*参数!$B$22*参数!$B$23*参数!$B$24*参数!$B$8/10000*IF(C14&lt;=5,1,IF(C14&lt;=10,1+参数!$B$25,(1+参数!$B$25)*(1+参数!$B$26)))</f>
        <v>268.056</v>
      </c>
      <c r="O14" s="4" t="n">
        <f aca="false">参数!$B$7*参数!$B$21*参数!$B$22*参数!$B$23*参数!$B$24*参数!$B$8/10000*(1+参数!$B$26)^INT((C14-1)/5)</f>
        <v>235.88928</v>
      </c>
      <c r="P14" s="4" t="n">
        <f aca="false">SUM(参数!$B$27:$B$32)*(1+参数!$B$33)^(C14-1)</f>
        <v>9317.09394860592</v>
      </c>
      <c r="Q14" s="4" t="n">
        <f aca="false">原表收入!G14</f>
        <v>16163.21</v>
      </c>
      <c r="R14" s="4" t="n">
        <f aca="false">F14+L14+M14</f>
        <v>15737.2495502188</v>
      </c>
      <c r="S14" s="4" t="n">
        <f aca="false">F14+L14+N14</f>
        <v>15710.4455502188</v>
      </c>
      <c r="T14" s="4" t="n">
        <f aca="false">F14+L14+O14</f>
        <v>15678.2788302188</v>
      </c>
      <c r="U14" s="4" t="n">
        <f aca="false">原表费用!J14</f>
        <v>9640.37</v>
      </c>
      <c r="V14" s="4" t="n">
        <f aca="false">Q14-U14</f>
        <v>6522.84</v>
      </c>
      <c r="W14" s="4" t="n">
        <f aca="false">原表费用!I14</f>
        <v>323.26</v>
      </c>
      <c r="X14" s="4" t="n">
        <f aca="false">K14-原表收入!E14</f>
        <v>52.5549999999998</v>
      </c>
    </row>
    <row r="15" customFormat="false" ht="15" hidden="false" customHeight="false" outlineLevel="0" collapsed="false">
      <c r="A15" s="12" t="n">
        <v>14</v>
      </c>
      <c r="B15" s="12" t="n">
        <v>2037</v>
      </c>
      <c r="C15" s="12" t="n">
        <v>10</v>
      </c>
      <c r="D15" s="4" t="n">
        <f aca="false">参数!$B$2*(1+参数!$B$4)^MIN(C15-1,4)*(1+参数!$B$5)^MIN(MAX(C15-5,0),5)*(1+参数!$B$6)^MAX(C15-10,0)</f>
        <v>14014.5287674219</v>
      </c>
      <c r="E15" s="4" t="n">
        <f aca="false">参数!$B$3*(1+参数!$B$4)^MIN(C15-1,4)*(1+参数!$B$5)^MIN(MAX(C15-5,0),5)*(1+参数!$B$6)^MAX(C15-10,0)</f>
        <v>1588.31326030781</v>
      </c>
      <c r="F15" s="4" t="n">
        <f aca="false">D15+E15</f>
        <v>15602.8420277297</v>
      </c>
      <c r="G15" s="4" t="n">
        <f aca="false">参数!$B$9+INT((C15-1)/5)*参数!$B$20</f>
        <v>2</v>
      </c>
      <c r="H15" s="4" t="n">
        <f aca="false">参数!$B$14+INT((C15-1)/5)*参数!$B$20</f>
        <v>1.5</v>
      </c>
      <c r="I15" s="4" t="n">
        <f aca="false">IF(C15&lt;=5,参数!$B$12,参数!$B$13)</f>
        <v>0.95</v>
      </c>
      <c r="J15" s="4" t="n">
        <f aca="false">IF(C15&lt;=5,参数!$B$17,参数!$B$18)</f>
        <v>0.95</v>
      </c>
      <c r="K15" s="4" t="n">
        <f aca="false">参数!$B$7*参数!$B$8*(参数!$B$10*2*G15*参数!$B$11*I15+参数!$B$15*2*H15*参数!$B$16*J15)/10000</f>
        <v>1061.055</v>
      </c>
      <c r="L15" s="4" t="n">
        <f aca="false">参数!$B$7*参数!$B$8*(参数!$B$10*2*参数!$B$9*参数!$B$11*I15+MIN(参数!$B$15*2*参数!$B$14,参数!$B$19)*参数!$B$16*J15)/10000</f>
        <v>582.54</v>
      </c>
      <c r="M15" s="4" t="n">
        <f aca="false">原表收入!F15</f>
        <v>294.86</v>
      </c>
      <c r="N15" s="4" t="n">
        <f aca="false">参数!$B$7*参数!$B$21*参数!$B$22*参数!$B$23*参数!$B$24*参数!$B$8/10000*IF(C15&lt;=5,1,IF(C15&lt;=10,1+参数!$B$25,(1+参数!$B$25)*(1+参数!$B$26)))</f>
        <v>268.056</v>
      </c>
      <c r="O15" s="4" t="n">
        <f aca="false">参数!$B$7*参数!$B$21*参数!$B$22*参数!$B$23*参数!$B$24*参数!$B$8/10000*(1+参数!$B$26)^INT((C15-1)/5)</f>
        <v>235.88928</v>
      </c>
      <c r="P15" s="4" t="n">
        <f aca="false">SUM(参数!$B$27:$B$32)*(1+参数!$B$33)^(C15-1)</f>
        <v>9596.6067670641</v>
      </c>
      <c r="Q15" s="4" t="n">
        <f aca="false">原表收入!G15</f>
        <v>16906.2</v>
      </c>
      <c r="R15" s="4" t="n">
        <f aca="false">F15+L15+M15</f>
        <v>16480.2420277297</v>
      </c>
      <c r="S15" s="4" t="n">
        <f aca="false">F15+L15+N15</f>
        <v>16453.4380277297</v>
      </c>
      <c r="T15" s="4" t="n">
        <f aca="false">F15+L15+O15</f>
        <v>16421.2713077297</v>
      </c>
      <c r="U15" s="4" t="n">
        <f aca="false">原表费用!J15</f>
        <v>9925.83</v>
      </c>
      <c r="V15" s="4" t="n">
        <f aca="false">Q15-U15</f>
        <v>6980.37</v>
      </c>
      <c r="W15" s="4" t="n">
        <f aca="false">原表费用!I15</f>
        <v>329.21</v>
      </c>
      <c r="X15" s="4" t="n">
        <f aca="false">K15-原表收入!E15</f>
        <v>52.5549999999998</v>
      </c>
    </row>
    <row r="16" customFormat="false" ht="15" hidden="false" customHeight="false" outlineLevel="0" collapsed="false">
      <c r="A16" s="12" t="n">
        <v>15</v>
      </c>
      <c r="B16" s="12" t="n">
        <v>2038</v>
      </c>
      <c r="C16" s="12" t="n">
        <v>11</v>
      </c>
      <c r="D16" s="4" t="n">
        <f aca="false">参数!$B$2*(1+参数!$B$4)^MIN(C16-1,4)*(1+参数!$B$5)^MIN(MAX(C16-5,0),5)*(1+参数!$B$6)^MAX(C16-10,0)</f>
        <v>14294.8193427703</v>
      </c>
      <c r="E16" s="4" t="n">
        <f aca="false">参数!$B$3*(1+参数!$B$4)^MIN(C16-1,4)*(1+参数!$B$5)^MIN(MAX(C16-5,0),5)*(1+参数!$B$6)^MAX(C16-10,0)</f>
        <v>1620.07952551397</v>
      </c>
      <c r="F16" s="4" t="n">
        <f aca="false">D16+E16</f>
        <v>15914.8988682843</v>
      </c>
      <c r="G16" s="4" t="n">
        <f aca="false">参数!$B$9+INT((C16-1)/5)*参数!$B$20</f>
        <v>2.5</v>
      </c>
      <c r="H16" s="4" t="n">
        <f aca="false">参数!$B$14+INT((C16-1)/5)*参数!$B$20</f>
        <v>2</v>
      </c>
      <c r="I16" s="4" t="n">
        <f aca="false">IF(C16&lt;=5,参数!$B$12,参数!$B$13)</f>
        <v>0.95</v>
      </c>
      <c r="J16" s="4" t="n">
        <f aca="false">IF(C16&lt;=5,参数!$B$17,参数!$B$18)</f>
        <v>0.95</v>
      </c>
      <c r="K16" s="4" t="n">
        <f aca="false">参数!$B$7*参数!$B$8*(参数!$B$10*2*G16*参数!$B$11*I16+参数!$B$15*2*H16*参数!$B$16*J16)/10000</f>
        <v>1373.13</v>
      </c>
      <c r="L16" s="4" t="n">
        <f aca="false">参数!$B$7*参数!$B$8*(参数!$B$10*2*参数!$B$9*参数!$B$11*I16+MIN(参数!$B$15*2*参数!$B$14,参数!$B$19)*参数!$B$16*J16)/10000</f>
        <v>582.54</v>
      </c>
      <c r="M16" s="4" t="n">
        <f aca="false">原表收入!F16</f>
        <v>324.35</v>
      </c>
      <c r="N16" s="4" t="n">
        <f aca="false">参数!$B$7*参数!$B$21*参数!$B$22*参数!$B$23*参数!$B$24*参数!$B$8/10000*IF(C16&lt;=5,1,IF(C16&lt;=10,1+参数!$B$25,(1+参数!$B$25)*(1+参数!$B$26)))</f>
        <v>294.8616</v>
      </c>
      <c r="O16" s="4" t="n">
        <f aca="false">参数!$B$7*参数!$B$21*参数!$B$22*参数!$B$23*参数!$B$24*参数!$B$8/10000*(1+参数!$B$26)^INT((C16-1)/5)</f>
        <v>259.478208</v>
      </c>
      <c r="P16" s="4" t="n">
        <f aca="false">SUM(参数!$B$27:$B$32)*(1+参数!$B$33)^(C16-1)</f>
        <v>9884.50497007602</v>
      </c>
      <c r="Q16" s="4" t="n">
        <f aca="false">原表收入!G16</f>
        <v>17546.68</v>
      </c>
      <c r="R16" s="4" t="n">
        <f aca="false">F16+L16+M16</f>
        <v>16821.7888682843</v>
      </c>
      <c r="S16" s="4" t="n">
        <f aca="false">F16+L16+N16</f>
        <v>16792.3004682843</v>
      </c>
      <c r="T16" s="4" t="n">
        <f aca="false">F16+L16+O16</f>
        <v>16756.9170762843</v>
      </c>
      <c r="U16" s="4" t="n">
        <f aca="false">原表费用!J16</f>
        <v>10226.35</v>
      </c>
      <c r="V16" s="4" t="n">
        <f aca="false">Q16-U16</f>
        <v>7320.33</v>
      </c>
      <c r="W16" s="4" t="n">
        <f aca="false">原表费用!I16</f>
        <v>341.84</v>
      </c>
      <c r="X16" s="4" t="n">
        <f aca="false">K16-原表收入!E16</f>
        <v>65.6999999999998</v>
      </c>
    </row>
    <row r="17" customFormat="false" ht="15" hidden="false" customHeight="false" outlineLevel="0" collapsed="false">
      <c r="A17" s="12" t="n">
        <v>16</v>
      </c>
      <c r="B17" s="12" t="n">
        <v>2039</v>
      </c>
      <c r="C17" s="12" t="n">
        <v>12</v>
      </c>
      <c r="D17" s="4" t="n">
        <f aca="false">参数!$B$2*(1+参数!$B$4)^MIN(C17-1,4)*(1+参数!$B$5)^MIN(MAX(C17-5,0),5)*(1+参数!$B$6)^MAX(C17-10,0)</f>
        <v>14580.7157296257</v>
      </c>
      <c r="E17" s="4" t="n">
        <f aca="false">参数!$B$3*(1+参数!$B$4)^MIN(C17-1,4)*(1+参数!$B$5)^MIN(MAX(C17-5,0),5)*(1+参数!$B$6)^MAX(C17-10,0)</f>
        <v>1652.48111602425</v>
      </c>
      <c r="F17" s="4" t="n">
        <f aca="false">D17+E17</f>
        <v>16233.19684565</v>
      </c>
      <c r="G17" s="4" t="n">
        <f aca="false">参数!$B$9+INT((C17-1)/5)*参数!$B$20</f>
        <v>2.5</v>
      </c>
      <c r="H17" s="4" t="n">
        <f aca="false">参数!$B$14+INT((C17-1)/5)*参数!$B$20</f>
        <v>2</v>
      </c>
      <c r="I17" s="4" t="n">
        <f aca="false">IF(C17&lt;=5,参数!$B$12,参数!$B$13)</f>
        <v>0.95</v>
      </c>
      <c r="J17" s="4" t="n">
        <f aca="false">IF(C17&lt;=5,参数!$B$17,参数!$B$18)</f>
        <v>0.95</v>
      </c>
      <c r="K17" s="4" t="n">
        <f aca="false">参数!$B$7*参数!$B$8*(参数!$B$10*2*G17*参数!$B$11*I17+参数!$B$15*2*H17*参数!$B$16*J17)/10000</f>
        <v>1373.13</v>
      </c>
      <c r="L17" s="4" t="n">
        <f aca="false">参数!$B$7*参数!$B$8*(参数!$B$10*2*参数!$B$9*参数!$B$11*I17+MIN(参数!$B$15*2*参数!$B$14,参数!$B$19)*参数!$B$16*J17)/10000</f>
        <v>582.54</v>
      </c>
      <c r="M17" s="4" t="n">
        <f aca="false">原表收入!F17</f>
        <v>324.35</v>
      </c>
      <c r="N17" s="4" t="n">
        <f aca="false">参数!$B$7*参数!$B$21*参数!$B$22*参数!$B$23*参数!$B$24*参数!$B$8/10000*IF(C17&lt;=5,1,IF(C17&lt;=10,1+参数!$B$25,(1+参数!$B$25)*(1+参数!$B$26)))</f>
        <v>294.8616</v>
      </c>
      <c r="O17" s="4" t="n">
        <f aca="false">参数!$B$7*参数!$B$21*参数!$B$22*参数!$B$23*参数!$B$24*参数!$B$8/10000*(1+参数!$B$26)^INT((C17-1)/5)</f>
        <v>259.478208</v>
      </c>
      <c r="P17" s="4" t="n">
        <f aca="false">SUM(参数!$B$27:$B$32)*(1+参数!$B$33)^(C17-1)</f>
        <v>10181.0401191783</v>
      </c>
      <c r="Q17" s="4" t="n">
        <f aca="false">原表收入!G17</f>
        <v>17864.98</v>
      </c>
      <c r="R17" s="4" t="n">
        <f aca="false">F17+L17+M17</f>
        <v>17140.08684565</v>
      </c>
      <c r="S17" s="4" t="n">
        <f aca="false">F17+L17+N17</f>
        <v>17110.59844565</v>
      </c>
      <c r="T17" s="4" t="n">
        <f aca="false">F17+L17+O17</f>
        <v>17075.21505365</v>
      </c>
      <c r="U17" s="4" t="n">
        <f aca="false">原表费用!J17</f>
        <v>10529.06</v>
      </c>
      <c r="V17" s="4" t="n">
        <f aca="false">Q17-U17</f>
        <v>7335.92</v>
      </c>
      <c r="W17" s="4" t="n">
        <f aca="false">原表费用!I17</f>
        <v>348.02</v>
      </c>
      <c r="X17" s="4" t="n">
        <f aca="false">K17-原表收入!E17</f>
        <v>65.6999999999998</v>
      </c>
    </row>
    <row r="18" customFormat="false" ht="15" hidden="false" customHeight="false" outlineLevel="0" collapsed="false">
      <c r="A18" s="12" t="n">
        <v>17</v>
      </c>
      <c r="B18" s="12" t="n">
        <v>2040</v>
      </c>
      <c r="C18" s="12" t="n">
        <v>13</v>
      </c>
      <c r="D18" s="4" t="n">
        <f aca="false">参数!$B$2*(1+参数!$B$4)^MIN(C18-1,4)*(1+参数!$B$5)^MIN(MAX(C18-5,0),5)*(1+参数!$B$6)^MAX(C18-10,0)</f>
        <v>14872.3300442182</v>
      </c>
      <c r="E18" s="4" t="n">
        <f aca="false">参数!$B$3*(1+参数!$B$4)^MIN(C18-1,4)*(1+参数!$B$5)^MIN(MAX(C18-5,0),5)*(1+参数!$B$6)^MAX(C18-10,0)</f>
        <v>1685.53073834473</v>
      </c>
      <c r="F18" s="4" t="n">
        <f aca="false">D18+E18</f>
        <v>16557.860782563</v>
      </c>
      <c r="G18" s="4" t="n">
        <f aca="false">参数!$B$9+INT((C18-1)/5)*参数!$B$20</f>
        <v>2.5</v>
      </c>
      <c r="H18" s="4" t="n">
        <f aca="false">参数!$B$14+INT((C18-1)/5)*参数!$B$20</f>
        <v>2</v>
      </c>
      <c r="I18" s="4" t="n">
        <f aca="false">IF(C18&lt;=5,参数!$B$12,参数!$B$13)</f>
        <v>0.95</v>
      </c>
      <c r="J18" s="4" t="n">
        <f aca="false">IF(C18&lt;=5,参数!$B$17,参数!$B$18)</f>
        <v>0.95</v>
      </c>
      <c r="K18" s="4" t="n">
        <f aca="false">参数!$B$7*参数!$B$8*(参数!$B$10*2*G18*参数!$B$11*I18+参数!$B$15*2*H18*参数!$B$16*J18)/10000</f>
        <v>1373.13</v>
      </c>
      <c r="L18" s="4" t="n">
        <f aca="false">参数!$B$7*参数!$B$8*(参数!$B$10*2*参数!$B$9*参数!$B$11*I18+MIN(参数!$B$15*2*参数!$B$14,参数!$B$19)*参数!$B$16*J18)/10000</f>
        <v>582.54</v>
      </c>
      <c r="M18" s="4" t="n">
        <f aca="false">原表收入!F18</f>
        <v>324.35</v>
      </c>
      <c r="N18" s="4" t="n">
        <f aca="false">参数!$B$7*参数!$B$21*参数!$B$22*参数!$B$23*参数!$B$24*参数!$B$8/10000*IF(C18&lt;=5,1,IF(C18&lt;=10,1+参数!$B$25,(1+参数!$B$25)*(1+参数!$B$26)))</f>
        <v>294.8616</v>
      </c>
      <c r="O18" s="4" t="n">
        <f aca="false">参数!$B$7*参数!$B$21*参数!$B$22*参数!$B$23*参数!$B$24*参数!$B$8/10000*(1+参数!$B$26)^INT((C18-1)/5)</f>
        <v>259.478208</v>
      </c>
      <c r="P18" s="4" t="n">
        <f aca="false">SUM(参数!$B$27:$B$32)*(1+参数!$B$33)^(C18-1)</f>
        <v>10486.4713227536</v>
      </c>
      <c r="Q18" s="4" t="n">
        <f aca="false">原表收入!G18</f>
        <v>18189.64</v>
      </c>
      <c r="R18" s="4" t="n">
        <f aca="false">F18+L18+M18</f>
        <v>17464.750782563</v>
      </c>
      <c r="S18" s="4" t="n">
        <f aca="false">F18+L18+N18</f>
        <v>17435.262382563</v>
      </c>
      <c r="T18" s="4" t="n">
        <f aca="false">F18+L18+O18</f>
        <v>17399.878990563</v>
      </c>
      <c r="U18" s="4" t="n">
        <f aca="false">原表费用!J18</f>
        <v>10840.8</v>
      </c>
      <c r="V18" s="4" t="n">
        <f aca="false">Q18-U18</f>
        <v>7348.84</v>
      </c>
      <c r="W18" s="4" t="n">
        <f aca="false">原表费用!I18</f>
        <v>354.33</v>
      </c>
      <c r="X18" s="4" t="n">
        <f aca="false">K18-原表收入!E18</f>
        <v>65.6999999999998</v>
      </c>
    </row>
    <row r="19" customFormat="false" ht="15" hidden="false" customHeight="false" outlineLevel="0" collapsed="false">
      <c r="A19" s="12" t="n">
        <v>18</v>
      </c>
      <c r="B19" s="12" t="n">
        <v>2041</v>
      </c>
      <c r="C19" s="12" t="n">
        <v>14</v>
      </c>
      <c r="D19" s="4" t="n">
        <f aca="false">参数!$B$2*(1+参数!$B$4)^MIN(C19-1,4)*(1+参数!$B$5)^MIN(MAX(C19-5,0),5)*(1+参数!$B$6)^MAX(C19-10,0)</f>
        <v>15169.7766451026</v>
      </c>
      <c r="E19" s="4" t="n">
        <f aca="false">参数!$B$3*(1+参数!$B$4)^MIN(C19-1,4)*(1+参数!$B$5)^MIN(MAX(C19-5,0),5)*(1+参数!$B$6)^MAX(C19-10,0)</f>
        <v>1719.24135311163</v>
      </c>
      <c r="F19" s="4" t="n">
        <f aca="false">D19+E19</f>
        <v>16889.0179982142</v>
      </c>
      <c r="G19" s="4" t="n">
        <f aca="false">参数!$B$9+INT((C19-1)/5)*参数!$B$20</f>
        <v>2.5</v>
      </c>
      <c r="H19" s="4" t="n">
        <f aca="false">参数!$B$14+INT((C19-1)/5)*参数!$B$20</f>
        <v>2</v>
      </c>
      <c r="I19" s="4" t="n">
        <f aca="false">IF(C19&lt;=5,参数!$B$12,参数!$B$13)</f>
        <v>0.95</v>
      </c>
      <c r="J19" s="4" t="n">
        <f aca="false">IF(C19&lt;=5,参数!$B$17,参数!$B$18)</f>
        <v>0.95</v>
      </c>
      <c r="K19" s="4" t="n">
        <f aca="false">参数!$B$7*参数!$B$8*(参数!$B$10*2*G19*参数!$B$11*I19+参数!$B$15*2*H19*参数!$B$16*J19)/10000</f>
        <v>1373.13</v>
      </c>
      <c r="L19" s="4" t="n">
        <f aca="false">参数!$B$7*参数!$B$8*(参数!$B$10*2*参数!$B$9*参数!$B$11*I19+MIN(参数!$B$15*2*参数!$B$14,参数!$B$19)*参数!$B$16*J19)/10000</f>
        <v>582.54</v>
      </c>
      <c r="M19" s="4" t="n">
        <f aca="false">原表收入!F19</f>
        <v>324.35</v>
      </c>
      <c r="N19" s="4" t="n">
        <f aca="false">参数!$B$7*参数!$B$21*参数!$B$22*参数!$B$23*参数!$B$24*参数!$B$8/10000*IF(C19&lt;=5,1,IF(C19&lt;=10,1+参数!$B$25,(1+参数!$B$25)*(1+参数!$B$26)))</f>
        <v>294.8616</v>
      </c>
      <c r="O19" s="4" t="n">
        <f aca="false">参数!$B$7*参数!$B$21*参数!$B$22*参数!$B$23*参数!$B$24*参数!$B$8/10000*(1+参数!$B$26)^INT((C19-1)/5)</f>
        <v>259.478208</v>
      </c>
      <c r="P19" s="4" t="n">
        <f aca="false">SUM(参数!$B$27:$B$32)*(1+参数!$B$33)^(C19-1)</f>
        <v>10801.0654624363</v>
      </c>
      <c r="Q19" s="4" t="n">
        <f aca="false">原表收入!G19</f>
        <v>18520.8</v>
      </c>
      <c r="R19" s="4" t="n">
        <f aca="false">F19+L19+M19</f>
        <v>17795.9079982142</v>
      </c>
      <c r="S19" s="4" t="n">
        <f aca="false">F19+L19+N19</f>
        <v>17766.4195982142</v>
      </c>
      <c r="T19" s="4" t="n">
        <f aca="false">F19+L19+O19</f>
        <v>17731.0362062142</v>
      </c>
      <c r="U19" s="4" t="n">
        <f aca="false">原表费用!J19</f>
        <v>11161.84</v>
      </c>
      <c r="V19" s="4" t="n">
        <f aca="false">Q19-U19</f>
        <v>7358.96</v>
      </c>
      <c r="W19" s="4" t="n">
        <f aca="false">原表费用!I19</f>
        <v>360.77</v>
      </c>
      <c r="X19" s="4" t="n">
        <f aca="false">K19-原表收入!E19</f>
        <v>65.6999999999998</v>
      </c>
    </row>
    <row r="20" customFormat="false" ht="15" hidden="false" customHeight="false" outlineLevel="0" collapsed="false">
      <c r="A20" s="13" t="s">
        <v>206</v>
      </c>
      <c r="B20" s="13"/>
      <c r="C20" s="13"/>
      <c r="D20" s="4" t="n">
        <f aca="false">SUM(D2:D19)</f>
        <v>168415.245877576</v>
      </c>
      <c r="E20" s="4" t="n">
        <f aca="false">SUM(E2:E19)</f>
        <v>19087.0611994586</v>
      </c>
      <c r="F20" s="4" t="n">
        <f aca="false">SUM(F2:F19)</f>
        <v>187502.307077035</v>
      </c>
      <c r="G20" s="2"/>
      <c r="H20" s="2"/>
      <c r="I20" s="2"/>
      <c r="J20" s="2"/>
      <c r="K20" s="4" t="n">
        <f aca="false">SUM(K2:K19)</f>
        <v>14148.495</v>
      </c>
      <c r="L20" s="4" t="n">
        <f aca="false">SUM(L2:L19)</f>
        <v>7805.16</v>
      </c>
      <c r="M20" s="4" t="n">
        <f aca="false">SUM(M2:M19)</f>
        <v>4058.34</v>
      </c>
      <c r="N20" s="4" t="n">
        <f aca="false">SUM(N2:N19)</f>
        <v>3591.9504</v>
      </c>
      <c r="O20" s="4" t="n">
        <f aca="false">SUM(O2:O19)</f>
        <v>3289.583232</v>
      </c>
      <c r="P20" s="4" t="n">
        <f aca="false">SUM(P2:P19)</f>
        <v>125669.914210311</v>
      </c>
      <c r="Q20" s="4" t="n">
        <f aca="false">SUM(Q2:Q19)</f>
        <v>205183.59</v>
      </c>
      <c r="R20" s="4" t="n">
        <f aca="false">SUM(R2:R19)</f>
        <v>199365.807077035</v>
      </c>
      <c r="S20" s="4" t="n">
        <f aca="false">SUM(S2:S19)</f>
        <v>198899.417477035</v>
      </c>
      <c r="T20" s="4" t="n">
        <f aca="false">SUM(T2:T19)</f>
        <v>198597.050309035</v>
      </c>
      <c r="U20" s="4" t="n">
        <f aca="false">SUM(U2:U19)</f>
        <v>129727.22</v>
      </c>
      <c r="V20" s="4" t="n">
        <f aca="false">SUM(V2:V19)</f>
        <v>75456.37</v>
      </c>
      <c r="W20" s="4" t="n">
        <f aca="false">SUM(W2:W19)</f>
        <v>4057.26</v>
      </c>
      <c r="X20" s="4" t="n">
        <f aca="false">SUM(X2:X19)</f>
        <v>525.574999999999</v>
      </c>
    </row>
  </sheetData>
  <autoFilter ref="A1:X20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1" t="s">
        <v>26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</row>
    <row r="2" customFormat="false" ht="15" hidden="false" customHeight="false" outlineLevel="0" collapsed="false">
      <c r="A2" s="2" t="s">
        <v>38</v>
      </c>
      <c r="B2" s="9" t="n">
        <v>17</v>
      </c>
      <c r="C2" s="10" t="n">
        <v>0</v>
      </c>
      <c r="D2" s="10" t="n">
        <v>0</v>
      </c>
      <c r="E2" s="2" t="s">
        <v>38</v>
      </c>
      <c r="F2" s="10" t="n">
        <v>0</v>
      </c>
    </row>
    <row r="3" customFormat="false" ht="15" hidden="false" customHeight="false" outlineLevel="0" collapsed="false">
      <c r="A3" s="2" t="s">
        <v>41</v>
      </c>
      <c r="B3" s="9" t="n">
        <v>17</v>
      </c>
      <c r="C3" s="10" t="n">
        <v>0.02</v>
      </c>
      <c r="D3" s="10" t="n">
        <v>0</v>
      </c>
      <c r="E3" s="2" t="s">
        <v>273</v>
      </c>
      <c r="F3" s="10" t="n">
        <v>0</v>
      </c>
    </row>
    <row r="4" customFormat="false" ht="15" hidden="false" customHeight="false" outlineLevel="0" collapsed="false">
      <c r="A4" s="2" t="s">
        <v>42</v>
      </c>
      <c r="B4" s="9" t="n">
        <v>17</v>
      </c>
      <c r="C4" s="10" t="n">
        <v>0.05</v>
      </c>
      <c r="D4" s="10" t="n">
        <v>0</v>
      </c>
      <c r="E4" s="2" t="s">
        <v>273</v>
      </c>
      <c r="F4" s="10" t="n">
        <v>0</v>
      </c>
    </row>
    <row r="5" customFormat="false" ht="15" hidden="false" customHeight="false" outlineLevel="0" collapsed="false">
      <c r="A5" s="2" t="s">
        <v>43</v>
      </c>
      <c r="B5" s="9" t="n">
        <v>18</v>
      </c>
      <c r="C5" s="10" t="n">
        <v>0.02</v>
      </c>
      <c r="D5" s="10" t="n">
        <v>0</v>
      </c>
      <c r="E5" s="2" t="s">
        <v>273</v>
      </c>
      <c r="F5" s="10" t="n">
        <v>0</v>
      </c>
    </row>
    <row r="6" customFormat="false" ht="15" hidden="false" customHeight="false" outlineLevel="0" collapsed="false">
      <c r="A6" s="2" t="s">
        <v>44</v>
      </c>
      <c r="B6" s="9" t="n">
        <v>18</v>
      </c>
      <c r="C6" s="10" t="n">
        <v>0.05</v>
      </c>
      <c r="D6" s="10" t="n">
        <v>0</v>
      </c>
      <c r="E6" s="2" t="s">
        <v>273</v>
      </c>
      <c r="F6" s="10" t="n">
        <v>0</v>
      </c>
    </row>
    <row r="7" customFormat="false" ht="15" hidden="false" customHeight="false" outlineLevel="0" collapsed="false">
      <c r="A7" s="2" t="s">
        <v>45</v>
      </c>
      <c r="B7" s="9" t="n">
        <v>19</v>
      </c>
      <c r="C7" s="10" t="n">
        <v>0.02</v>
      </c>
      <c r="D7" s="10" t="n">
        <v>0</v>
      </c>
      <c r="E7" s="2" t="s">
        <v>273</v>
      </c>
      <c r="F7" s="10" t="n">
        <v>0</v>
      </c>
    </row>
    <row r="8" customFormat="false" ht="15" hidden="false" customHeight="false" outlineLevel="0" collapsed="false">
      <c r="A8" s="2" t="s">
        <v>46</v>
      </c>
      <c r="B8" s="9" t="n">
        <v>19</v>
      </c>
      <c r="C8" s="10" t="n">
        <v>0.05</v>
      </c>
      <c r="D8" s="10" t="n">
        <v>0</v>
      </c>
      <c r="E8" s="2" t="s">
        <v>273</v>
      </c>
      <c r="F8" s="10" t="n">
        <v>0</v>
      </c>
    </row>
    <row r="9" customFormat="false" ht="15" hidden="false" customHeight="false" outlineLevel="0" collapsed="false">
      <c r="A9" s="2" t="s">
        <v>47</v>
      </c>
      <c r="B9" s="9" t="n">
        <v>20</v>
      </c>
      <c r="C9" s="10" t="n">
        <v>0.05</v>
      </c>
      <c r="D9" s="10" t="n">
        <v>0</v>
      </c>
      <c r="E9" s="2" t="s">
        <v>273</v>
      </c>
      <c r="F9" s="10" t="n">
        <v>0</v>
      </c>
    </row>
    <row r="10" customFormat="false" ht="15" hidden="false" customHeight="false" outlineLevel="0" collapsed="false">
      <c r="A10" s="2" t="s">
        <v>48</v>
      </c>
      <c r="B10" s="9" t="n">
        <v>17</v>
      </c>
      <c r="C10" s="10" t="n">
        <v>0</v>
      </c>
      <c r="D10" s="10" t="n">
        <v>0</v>
      </c>
      <c r="E10" s="2" t="s">
        <v>38</v>
      </c>
      <c r="F10" s="10" t="n">
        <v>0.05</v>
      </c>
    </row>
    <row r="11" customFormat="false" ht="15" hidden="false" customHeight="false" outlineLevel="0" collapsed="false">
      <c r="A11" s="2" t="s">
        <v>49</v>
      </c>
      <c r="B11" s="9" t="n">
        <v>17</v>
      </c>
      <c r="C11" s="10" t="n">
        <v>0</v>
      </c>
      <c r="D11" s="10" t="n">
        <v>0.05</v>
      </c>
      <c r="E11" s="2" t="s">
        <v>38</v>
      </c>
      <c r="F11" s="10" t="n">
        <v>0</v>
      </c>
    </row>
    <row r="12" customFormat="false" ht="15" hidden="false" customHeight="false" outlineLevel="0" collapsed="false">
      <c r="A12" s="2" t="s">
        <v>50</v>
      </c>
      <c r="B12" s="9" t="n">
        <v>17</v>
      </c>
      <c r="C12" s="10" t="n">
        <v>0.02</v>
      </c>
      <c r="D12" s="10" t="n">
        <v>0.05</v>
      </c>
      <c r="E12" s="2" t="s">
        <v>273</v>
      </c>
      <c r="F12" s="10" t="n">
        <v>0</v>
      </c>
    </row>
    <row r="13" customFormat="false" ht="15" hidden="false" customHeight="false" outlineLevel="0" collapsed="false">
      <c r="A13" s="2" t="s">
        <v>51</v>
      </c>
      <c r="B13" s="9" t="n">
        <v>17</v>
      </c>
      <c r="C13" s="10" t="n">
        <v>0.05</v>
      </c>
      <c r="D13" s="10" t="n">
        <v>0.05</v>
      </c>
      <c r="E13" s="2" t="s">
        <v>273</v>
      </c>
      <c r="F13" s="10" t="n">
        <v>0</v>
      </c>
    </row>
    <row r="14" customFormat="false" ht="15" hidden="false" customHeight="false" outlineLevel="0" collapsed="false">
      <c r="A14" s="2" t="s">
        <v>52</v>
      </c>
      <c r="B14" s="9" t="n">
        <v>19</v>
      </c>
      <c r="C14" s="10" t="n">
        <v>0.05</v>
      </c>
      <c r="D14" s="10" t="n">
        <v>0.05</v>
      </c>
      <c r="E14" s="2" t="s">
        <v>273</v>
      </c>
      <c r="F14" s="10" t="n">
        <v>0</v>
      </c>
    </row>
    <row r="15" customFormat="false" ht="15" hidden="false" customHeight="false" outlineLevel="0" collapsed="false">
      <c r="A15" s="2" t="s">
        <v>53</v>
      </c>
      <c r="B15" s="9" t="n">
        <v>19</v>
      </c>
      <c r="C15" s="10" t="n">
        <v>0.02</v>
      </c>
      <c r="D15" s="10" t="n">
        <v>0.05</v>
      </c>
      <c r="E15" s="2" t="s">
        <v>273</v>
      </c>
      <c r="F15" s="10" t="n">
        <v>0</v>
      </c>
    </row>
    <row r="16" customFormat="false" ht="15" hidden="false" customHeight="false" outlineLevel="0" collapsed="false">
      <c r="A16" s="2" t="s">
        <v>54</v>
      </c>
      <c r="B16" s="9" t="n">
        <v>18</v>
      </c>
      <c r="C16" s="10" t="n">
        <v>0.02</v>
      </c>
      <c r="D16" s="10" t="n">
        <v>0.05</v>
      </c>
      <c r="E16" s="2" t="s">
        <v>273</v>
      </c>
      <c r="F16" s="10" t="n">
        <v>0</v>
      </c>
    </row>
    <row r="17" customFormat="false" ht="15" hidden="false" customHeight="false" outlineLevel="0" collapsed="false">
      <c r="A17" s="2" t="s">
        <v>55</v>
      </c>
      <c r="B17" s="9" t="n">
        <v>18</v>
      </c>
      <c r="C17" s="10" t="n">
        <v>0.05</v>
      </c>
      <c r="D17" s="10" t="n">
        <v>0.05</v>
      </c>
      <c r="E17" s="2" t="s">
        <v>273</v>
      </c>
      <c r="F17" s="10" t="n">
        <v>0</v>
      </c>
    </row>
    <row r="18" customFormat="false" ht="15" hidden="false" customHeight="false" outlineLevel="0" collapsed="false">
      <c r="A18" s="2" t="s">
        <v>56</v>
      </c>
      <c r="B18" s="9" t="n">
        <v>20</v>
      </c>
      <c r="C18" s="10" t="n">
        <v>0.02</v>
      </c>
      <c r="D18" s="10" t="n">
        <v>0</v>
      </c>
      <c r="E18" s="2" t="s">
        <v>273</v>
      </c>
      <c r="F18" s="10" t="n">
        <v>0</v>
      </c>
    </row>
    <row r="19" customFormat="false" ht="15" hidden="false" customHeight="false" outlineLevel="0" collapsed="false">
      <c r="A19" s="2" t="s">
        <v>57</v>
      </c>
      <c r="B19" s="9" t="n">
        <v>20</v>
      </c>
      <c r="C19" s="10" t="n">
        <v>0.02</v>
      </c>
      <c r="D19" s="10" t="n">
        <v>0.05</v>
      </c>
      <c r="E19" s="2" t="s">
        <v>273</v>
      </c>
      <c r="F19" s="10" t="n">
        <v>0</v>
      </c>
    </row>
    <row r="20" customFormat="false" ht="15" hidden="false" customHeight="false" outlineLevel="0" collapsed="false">
      <c r="A20" s="2" t="s">
        <v>58</v>
      </c>
      <c r="B20" s="9" t="n">
        <v>20</v>
      </c>
      <c r="C20" s="10" t="n">
        <v>0.05</v>
      </c>
      <c r="D20" s="10" t="n">
        <v>0.05</v>
      </c>
      <c r="E20" s="2" t="s">
        <v>273</v>
      </c>
      <c r="F20" s="10" t="n">
        <v>0</v>
      </c>
    </row>
  </sheetData>
  <autoFilter ref="A1:F20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8" min="2" style="0" width="18"/>
  </cols>
  <sheetData>
    <row r="1" customFormat="false" ht="31.5" hidden="false" customHeight="true" outlineLevel="0" collapsed="false">
      <c r="A1" s="1" t="s">
        <v>26</v>
      </c>
      <c r="B1" s="1" t="s">
        <v>27</v>
      </c>
      <c r="C1" s="1" t="s">
        <v>8</v>
      </c>
      <c r="D1" s="1" t="s">
        <v>249</v>
      </c>
      <c r="E1" s="1" t="s">
        <v>274</v>
      </c>
      <c r="F1" s="1" t="s">
        <v>275</v>
      </c>
      <c r="G1" s="1" t="s">
        <v>276</v>
      </c>
      <c r="H1" s="1" t="s">
        <v>213</v>
      </c>
      <c r="I1" s="1" t="s">
        <v>277</v>
      </c>
      <c r="J1" s="1" t="s">
        <v>278</v>
      </c>
      <c r="K1" s="1" t="s">
        <v>224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</row>
    <row r="2" customFormat="false" ht="15" hidden="false" customHeight="false" outlineLevel="0" collapsed="false">
      <c r="A2" s="2" t="s">
        <v>38</v>
      </c>
      <c r="B2" s="2" t="s">
        <v>39</v>
      </c>
      <c r="C2" s="12" t="n">
        <v>0</v>
      </c>
      <c r="D2" s="13" t="s">
        <v>248</v>
      </c>
      <c r="E2" s="4" t="n">
        <f aca="false">0</f>
        <v>0</v>
      </c>
      <c r="F2" s="4" t="n">
        <f aca="false">E2*(1-情景参数!D2)</f>
        <v>0</v>
      </c>
      <c r="G2" s="4" t="n">
        <f aca="false">0</f>
        <v>0</v>
      </c>
      <c r="H2" s="4" t="n">
        <f aca="false">0</f>
        <v>0</v>
      </c>
      <c r="I2" s="4" t="n">
        <f aca="false">0</f>
        <v>0</v>
      </c>
      <c r="J2" s="4" t="n">
        <f aca="false">(F2-I2)*(1-情景参数!F2)</f>
        <v>0</v>
      </c>
      <c r="K2" s="4" t="n">
        <f aca="false">偿债原表!C2</f>
        <v>0</v>
      </c>
      <c r="L2" s="4" t="n">
        <f aca="false">偿债原表!D2</f>
        <v>1374.2</v>
      </c>
      <c r="M2" s="4" t="n">
        <f aca="false">K2+L2</f>
        <v>1374.2</v>
      </c>
      <c r="N2" s="4" t="n">
        <f aca="false">J2-M2</f>
        <v>-1374.2</v>
      </c>
      <c r="O2" s="4" t="n">
        <f aca="false">N2</f>
        <v>-1374.2</v>
      </c>
      <c r="P2" s="4" t="n">
        <f aca="false">MAX(0,-N2)</f>
        <v>1374.2</v>
      </c>
      <c r="Q2" s="4" t="n">
        <f aca="false">P2</f>
        <v>1374.2</v>
      </c>
      <c r="R2" s="4" t="n">
        <f aca="false">O2+Q2</f>
        <v>0</v>
      </c>
    </row>
    <row r="3" customFormat="false" ht="15" hidden="false" customHeight="false" outlineLevel="0" collapsed="false">
      <c r="A3" s="2" t="s">
        <v>38</v>
      </c>
      <c r="B3" s="2" t="s">
        <v>39</v>
      </c>
      <c r="C3" s="12" t="n">
        <v>1</v>
      </c>
      <c r="D3" s="12" t="n">
        <v>2024</v>
      </c>
      <c r="E3" s="4" t="n">
        <f aca="false">INDEX(驱动复算!A2:X2,1,情景参数!B2)</f>
        <v>0</v>
      </c>
      <c r="F3" s="4" t="n">
        <f aca="false">E3*(1-情景参数!D2)</f>
        <v>0</v>
      </c>
      <c r="G3" s="4" t="n">
        <f aca="false">IF(情景参数!E2="原表",驱动复算!U2-驱动复算!W2,驱动复算!P2)</f>
        <v>0</v>
      </c>
      <c r="H3" s="4" t="n">
        <f aca="false">IF(情景参数!E2="原表",驱动复算!W2,F3*情景参数!C2)</f>
        <v>0</v>
      </c>
      <c r="I3" s="4" t="n">
        <f aca="false">IF(情景参数!E2="原表",驱动复算!U2,G3+H3)</f>
        <v>0</v>
      </c>
      <c r="J3" s="4" t="n">
        <f aca="false">(F3-I3)*(1-情景参数!F2)</f>
        <v>0</v>
      </c>
      <c r="K3" s="4" t="n">
        <f aca="false">偿债原表!C3</f>
        <v>0</v>
      </c>
      <c r="L3" s="4" t="n">
        <f aca="false">偿债原表!D3</f>
        <v>1093.2</v>
      </c>
      <c r="M3" s="4" t="n">
        <f aca="false">K3+L3</f>
        <v>1093.2</v>
      </c>
      <c r="N3" s="4" t="n">
        <f aca="false">J3-M3</f>
        <v>-1093.2</v>
      </c>
      <c r="O3" s="4" t="n">
        <f aca="false">O2+N3</f>
        <v>-2467.4</v>
      </c>
      <c r="P3" s="4" t="n">
        <f aca="false">MAX(0,-(R2+N3))</f>
        <v>1093.2</v>
      </c>
      <c r="Q3" s="4" t="n">
        <f aca="false">Q2+P3</f>
        <v>2467.4</v>
      </c>
      <c r="R3" s="4" t="n">
        <f aca="false">O3+Q3</f>
        <v>0</v>
      </c>
    </row>
    <row r="4" customFormat="false" ht="15" hidden="false" customHeight="false" outlineLevel="0" collapsed="false">
      <c r="A4" s="2" t="s">
        <v>38</v>
      </c>
      <c r="B4" s="2" t="s">
        <v>39</v>
      </c>
      <c r="C4" s="12" t="n">
        <v>2</v>
      </c>
      <c r="D4" s="12" t="n">
        <v>2025</v>
      </c>
      <c r="E4" s="4" t="n">
        <f aca="false">INDEX(驱动复算!A3:X3,1,情景参数!B2)</f>
        <v>0</v>
      </c>
      <c r="F4" s="4" t="n">
        <f aca="false">E4*(1-情景参数!D2)</f>
        <v>0</v>
      </c>
      <c r="G4" s="4" t="n">
        <f aca="false">IF(情景参数!E2="原表",驱动复算!U3-驱动复算!W3,驱动复算!P3)</f>
        <v>0</v>
      </c>
      <c r="H4" s="4" t="n">
        <f aca="false">IF(情景参数!E2="原表",驱动复算!W3,F4*情景参数!C2)</f>
        <v>0</v>
      </c>
      <c r="I4" s="4" t="n">
        <f aca="false">IF(情景参数!E2="原表",驱动复算!U3,G4+H4)</f>
        <v>0</v>
      </c>
      <c r="J4" s="4" t="n">
        <f aca="false">(F4-I4)*(1-情景参数!F2)</f>
        <v>0</v>
      </c>
      <c r="K4" s="4" t="n">
        <f aca="false">偿债原表!C4</f>
        <v>0</v>
      </c>
      <c r="L4" s="4" t="n">
        <f aca="false">偿债原表!D4</f>
        <v>1093.2</v>
      </c>
      <c r="M4" s="4" t="n">
        <f aca="false">K4+L4</f>
        <v>1093.2</v>
      </c>
      <c r="N4" s="4" t="n">
        <f aca="false">J4-M4</f>
        <v>-1093.2</v>
      </c>
      <c r="O4" s="4" t="n">
        <f aca="false">O3+N4</f>
        <v>-3560.6</v>
      </c>
      <c r="P4" s="4" t="n">
        <f aca="false">MAX(0,-(R3+N4))</f>
        <v>1093.2</v>
      </c>
      <c r="Q4" s="4" t="n">
        <f aca="false">Q3+P4</f>
        <v>3560.6</v>
      </c>
      <c r="R4" s="4" t="n">
        <f aca="false">O4+Q4</f>
        <v>0</v>
      </c>
    </row>
    <row r="5" customFormat="false" ht="15" hidden="false" customHeight="false" outlineLevel="0" collapsed="false">
      <c r="A5" s="2" t="s">
        <v>38</v>
      </c>
      <c r="B5" s="2" t="s">
        <v>39</v>
      </c>
      <c r="C5" s="12" t="n">
        <v>3</v>
      </c>
      <c r="D5" s="12" t="n">
        <v>2026</v>
      </c>
      <c r="E5" s="4" t="n">
        <f aca="false">INDEX(驱动复算!A4:X4,1,情景参数!B2)</f>
        <v>0</v>
      </c>
      <c r="F5" s="4" t="n">
        <f aca="false">E5*(1-情景参数!D2)</f>
        <v>0</v>
      </c>
      <c r="G5" s="4" t="n">
        <f aca="false">IF(情景参数!E2="原表",驱动复算!U4-驱动复算!W4,驱动复算!P4)</f>
        <v>0</v>
      </c>
      <c r="H5" s="4" t="n">
        <f aca="false">IF(情景参数!E2="原表",驱动复算!W4,F5*情景参数!C2)</f>
        <v>0</v>
      </c>
      <c r="I5" s="4" t="n">
        <f aca="false">IF(情景参数!E2="原表",驱动复算!U4,G5+H5)</f>
        <v>0</v>
      </c>
      <c r="J5" s="4" t="n">
        <f aca="false">(F5-I5)*(1-情景参数!F2)</f>
        <v>0</v>
      </c>
      <c r="K5" s="4" t="n">
        <f aca="false">偿债原表!C5</f>
        <v>0</v>
      </c>
      <c r="L5" s="4" t="n">
        <f aca="false">偿债原表!D5</f>
        <v>1093.2</v>
      </c>
      <c r="M5" s="4" t="n">
        <f aca="false">K5+L5</f>
        <v>1093.2</v>
      </c>
      <c r="N5" s="4" t="n">
        <f aca="false">J5-M5</f>
        <v>-1093.2</v>
      </c>
      <c r="O5" s="4" t="n">
        <f aca="false">O4+N5</f>
        <v>-4653.8</v>
      </c>
      <c r="P5" s="4" t="n">
        <f aca="false">MAX(0,-(R4+N5))</f>
        <v>1093.2</v>
      </c>
      <c r="Q5" s="4" t="n">
        <f aca="false">Q4+P5</f>
        <v>4653.8</v>
      </c>
      <c r="R5" s="4" t="n">
        <f aca="false">O5+Q5</f>
        <v>0</v>
      </c>
    </row>
    <row r="6" customFormat="false" ht="15" hidden="false" customHeight="false" outlineLevel="0" collapsed="false">
      <c r="A6" s="2" t="s">
        <v>38</v>
      </c>
      <c r="B6" s="2" t="s">
        <v>39</v>
      </c>
      <c r="C6" s="12" t="n">
        <v>4</v>
      </c>
      <c r="D6" s="12" t="n">
        <v>2027</v>
      </c>
      <c r="E6" s="4" t="n">
        <f aca="false">INDEX(驱动复算!A5:X5,1,情景参数!B2)</f>
        <v>0</v>
      </c>
      <c r="F6" s="4" t="n">
        <f aca="false">E6*(1-情景参数!D2)</f>
        <v>0</v>
      </c>
      <c r="G6" s="4" t="n">
        <f aca="false">IF(情景参数!E2="原表",驱动复算!U5-驱动复算!W5,驱动复算!P5)</f>
        <v>0</v>
      </c>
      <c r="H6" s="4" t="n">
        <f aca="false">IF(情景参数!E2="原表",驱动复算!W5,F6*情景参数!C2)</f>
        <v>0</v>
      </c>
      <c r="I6" s="4" t="n">
        <f aca="false">IF(情景参数!E2="原表",驱动复算!U5,G6+H6)</f>
        <v>0</v>
      </c>
      <c r="J6" s="4" t="n">
        <f aca="false">(F6-I6)*(1-情景参数!F2)</f>
        <v>0</v>
      </c>
      <c r="K6" s="4" t="n">
        <f aca="false">偿债原表!C6</f>
        <v>0</v>
      </c>
      <c r="L6" s="4" t="n">
        <f aca="false">偿债原表!D6</f>
        <v>1093.2</v>
      </c>
      <c r="M6" s="4" t="n">
        <f aca="false">K6+L6</f>
        <v>1093.2</v>
      </c>
      <c r="N6" s="4" t="n">
        <f aca="false">J6-M6</f>
        <v>-1093.2</v>
      </c>
      <c r="O6" s="4" t="n">
        <f aca="false">O5+N6</f>
        <v>-5747</v>
      </c>
      <c r="P6" s="4" t="n">
        <f aca="false">MAX(0,-(R5+N6))</f>
        <v>1093.2</v>
      </c>
      <c r="Q6" s="4" t="n">
        <f aca="false">Q5+P6</f>
        <v>5747</v>
      </c>
      <c r="R6" s="4" t="n">
        <f aca="false">O6+Q6</f>
        <v>0</v>
      </c>
    </row>
    <row r="7" customFormat="false" ht="15" hidden="false" customHeight="false" outlineLevel="0" collapsed="false">
      <c r="A7" s="2" t="s">
        <v>38</v>
      </c>
      <c r="B7" s="2" t="s">
        <v>39</v>
      </c>
      <c r="C7" s="12" t="n">
        <v>5</v>
      </c>
      <c r="D7" s="12" t="n">
        <v>2028</v>
      </c>
      <c r="E7" s="4" t="n">
        <f aca="false">INDEX(驱动复算!A6:X6,1,情景参数!B2)</f>
        <v>9234.58</v>
      </c>
      <c r="F7" s="4" t="n">
        <f aca="false">E7*(1-情景参数!D2)</f>
        <v>9234.58</v>
      </c>
      <c r="G7" s="4" t="n">
        <f aca="false">IF(情景参数!E2="原表",驱动复算!U6-驱动复算!W6,驱动复算!P6)</f>
        <v>7355</v>
      </c>
      <c r="H7" s="4" t="n">
        <f aca="false">IF(情景参数!E2="原表",驱动复算!W6,F7*情景参数!C2)</f>
        <v>184.69</v>
      </c>
      <c r="I7" s="4" t="n">
        <f aca="false">IF(情景参数!E2="原表",驱动复算!U6,G7+H7)</f>
        <v>7539.69</v>
      </c>
      <c r="J7" s="4" t="n">
        <f aca="false">(F7-I7)*(1-情景参数!F2)</f>
        <v>1694.89</v>
      </c>
      <c r="K7" s="4" t="n">
        <f aca="false">偿债原表!C7</f>
        <v>11000</v>
      </c>
      <c r="L7" s="4" t="n">
        <f aca="false">偿债原表!D7</f>
        <v>1093.2</v>
      </c>
      <c r="M7" s="4" t="n">
        <f aca="false">K7+L7</f>
        <v>12093.2</v>
      </c>
      <c r="N7" s="4" t="n">
        <f aca="false">J7-M7</f>
        <v>-10398.31</v>
      </c>
      <c r="O7" s="4" t="n">
        <f aca="false">O6+N7</f>
        <v>-16145.31</v>
      </c>
      <c r="P7" s="4" t="n">
        <f aca="false">MAX(0,-(R6+N7))</f>
        <v>10398.31</v>
      </c>
      <c r="Q7" s="4" t="n">
        <f aca="false">Q6+P7</f>
        <v>16145.31</v>
      </c>
      <c r="R7" s="4" t="n">
        <f aca="false">O7+Q7</f>
        <v>0</v>
      </c>
    </row>
    <row r="8" customFormat="false" ht="15" hidden="false" customHeight="false" outlineLevel="0" collapsed="false">
      <c r="A8" s="2" t="s">
        <v>38</v>
      </c>
      <c r="B8" s="2" t="s">
        <v>39</v>
      </c>
      <c r="C8" s="12" t="n">
        <v>6</v>
      </c>
      <c r="D8" s="12" t="n">
        <v>2029</v>
      </c>
      <c r="E8" s="4" t="n">
        <f aca="false">INDEX(驱动复算!A7:X7,1,情景参数!B2)</f>
        <v>10123.19</v>
      </c>
      <c r="F8" s="4" t="n">
        <f aca="false">E8*(1-情景参数!D2)</f>
        <v>10123.19</v>
      </c>
      <c r="G8" s="4" t="n">
        <f aca="false">IF(情景参数!E2="原表",驱动复算!U7-驱动复算!W7,驱动复算!P7)</f>
        <v>7575.65</v>
      </c>
      <c r="H8" s="4" t="n">
        <f aca="false">IF(情景参数!E2="原表",驱动复算!W7,F8*情景参数!C2)</f>
        <v>202.46</v>
      </c>
      <c r="I8" s="4" t="n">
        <f aca="false">IF(情景参数!E2="原表",驱动复算!U7,G8+H8)</f>
        <v>7778.11</v>
      </c>
      <c r="J8" s="4" t="n">
        <f aca="false">(F8-I8)*(1-情景参数!F2)</f>
        <v>2345.08</v>
      </c>
      <c r="K8" s="4" t="n">
        <f aca="false">偿债原表!C8</f>
        <v>0</v>
      </c>
      <c r="L8" s="4" t="n">
        <f aca="false">偿债原表!D8</f>
        <v>730.2</v>
      </c>
      <c r="M8" s="4" t="n">
        <f aca="false">K8+L8</f>
        <v>730.2</v>
      </c>
      <c r="N8" s="4" t="n">
        <f aca="false">J8-M8</f>
        <v>1614.88</v>
      </c>
      <c r="O8" s="4" t="n">
        <f aca="false">O7+N8</f>
        <v>-14530.43</v>
      </c>
      <c r="P8" s="4" t="n">
        <f aca="false">MAX(0,-(R7+N8))</f>
        <v>0</v>
      </c>
      <c r="Q8" s="4" t="n">
        <f aca="false">Q7+P8</f>
        <v>16145.31</v>
      </c>
      <c r="R8" s="4" t="n">
        <f aca="false">O8+Q8</f>
        <v>1614.88</v>
      </c>
    </row>
    <row r="9" customFormat="false" ht="15" hidden="false" customHeight="false" outlineLevel="0" collapsed="false">
      <c r="A9" s="2" t="s">
        <v>38</v>
      </c>
      <c r="B9" s="2" t="s">
        <v>39</v>
      </c>
      <c r="C9" s="12" t="n">
        <v>7</v>
      </c>
      <c r="D9" s="12" t="n">
        <v>2030</v>
      </c>
      <c r="E9" s="4" t="n">
        <f aca="false">INDEX(驱动复算!A8:X8,1,情景参数!B2)</f>
        <v>11041.69</v>
      </c>
      <c r="F9" s="4" t="n">
        <f aca="false">E9*(1-情景参数!D2)</f>
        <v>11041.69</v>
      </c>
      <c r="G9" s="4" t="n">
        <f aca="false">IF(情景参数!E2="原表",驱动复算!U8-驱动复算!W8,驱动复算!P8)</f>
        <v>7802.91</v>
      </c>
      <c r="H9" s="4" t="n">
        <f aca="false">IF(情景参数!E2="原表",驱动复算!W8,F9*情景参数!C2)</f>
        <v>220.83</v>
      </c>
      <c r="I9" s="4" t="n">
        <f aca="false">IF(情景参数!E2="原表",驱动复算!U8,G9+H9)</f>
        <v>8023.74</v>
      </c>
      <c r="J9" s="4" t="n">
        <f aca="false">(F9-I9)*(1-情景参数!F2)</f>
        <v>3017.95</v>
      </c>
      <c r="K9" s="4" t="n">
        <f aca="false">偿债原表!C9</f>
        <v>0</v>
      </c>
      <c r="L9" s="4" t="n">
        <f aca="false">偿债原表!D9</f>
        <v>730.2</v>
      </c>
      <c r="M9" s="4" t="n">
        <f aca="false">K9+L9</f>
        <v>730.2</v>
      </c>
      <c r="N9" s="4" t="n">
        <f aca="false">J9-M9</f>
        <v>2287.75</v>
      </c>
      <c r="O9" s="4" t="n">
        <f aca="false">O8+N9</f>
        <v>-12242.68</v>
      </c>
      <c r="P9" s="4" t="n">
        <f aca="false">MAX(0,-(R8+N9))</f>
        <v>0</v>
      </c>
      <c r="Q9" s="4" t="n">
        <f aca="false">Q8+P9</f>
        <v>16145.31</v>
      </c>
      <c r="R9" s="4" t="n">
        <f aca="false">O9+Q9</f>
        <v>3902.63</v>
      </c>
    </row>
    <row r="10" customFormat="false" ht="15" hidden="false" customHeight="false" outlineLevel="0" collapsed="false">
      <c r="A10" s="2" t="s">
        <v>38</v>
      </c>
      <c r="B10" s="2" t="s">
        <v>39</v>
      </c>
      <c r="C10" s="12" t="n">
        <v>8</v>
      </c>
      <c r="D10" s="12" t="n">
        <v>2031</v>
      </c>
      <c r="E10" s="4" t="n">
        <f aca="false">INDEX(驱动复算!A9:X9,1,情景参数!B2)</f>
        <v>12052.04</v>
      </c>
      <c r="F10" s="4" t="n">
        <f aca="false">E10*(1-情景参数!D2)</f>
        <v>12052.04</v>
      </c>
      <c r="G10" s="4" t="n">
        <f aca="false">IF(情景参数!E2="原表",驱动复算!U9-驱动复算!W9,驱动复算!P9)</f>
        <v>8037</v>
      </c>
      <c r="H10" s="4" t="n">
        <f aca="false">IF(情景参数!E2="原表",驱动复算!W9,F10*情景参数!C2)</f>
        <v>241.04</v>
      </c>
      <c r="I10" s="4" t="n">
        <f aca="false">IF(情景参数!E2="原表",驱动复算!U9,G10+H10)</f>
        <v>8278.04</v>
      </c>
      <c r="J10" s="4" t="n">
        <f aca="false">(F10-I10)*(1-情景参数!F2)</f>
        <v>3774</v>
      </c>
      <c r="K10" s="4" t="n">
        <f aca="false">偿债原表!C10</f>
        <v>0</v>
      </c>
      <c r="L10" s="4" t="n">
        <f aca="false">偿债原表!D10</f>
        <v>730.2</v>
      </c>
      <c r="M10" s="4" t="n">
        <f aca="false">K10+L10</f>
        <v>730.2</v>
      </c>
      <c r="N10" s="4" t="n">
        <f aca="false">J10-M10</f>
        <v>3043.8</v>
      </c>
      <c r="O10" s="4" t="n">
        <f aca="false">O9+N10</f>
        <v>-9198.88</v>
      </c>
      <c r="P10" s="4" t="n">
        <f aca="false">MAX(0,-(R9+N10))</f>
        <v>0</v>
      </c>
      <c r="Q10" s="4" t="n">
        <f aca="false">Q9+P10</f>
        <v>16145.31</v>
      </c>
      <c r="R10" s="4" t="n">
        <f aca="false">O10+Q10</f>
        <v>6946.43</v>
      </c>
    </row>
    <row r="11" customFormat="false" ht="15" hidden="false" customHeight="false" outlineLevel="0" collapsed="false">
      <c r="A11" s="2" t="s">
        <v>38</v>
      </c>
      <c r="B11" s="2" t="s">
        <v>39</v>
      </c>
      <c r="C11" s="12" t="n">
        <v>9</v>
      </c>
      <c r="D11" s="12" t="n">
        <v>2032</v>
      </c>
      <c r="E11" s="4" t="n">
        <f aca="false">INDEX(驱动复算!A10:X10,1,情景参数!B2)</f>
        <v>13163.43</v>
      </c>
      <c r="F11" s="4" t="n">
        <f aca="false">E11*(1-情景参数!D2)</f>
        <v>13163.43</v>
      </c>
      <c r="G11" s="4" t="n">
        <f aca="false">IF(情景参数!E2="原表",驱动复算!U10-驱动复算!W10,驱动复算!P10)</f>
        <v>8278.11</v>
      </c>
      <c r="H11" s="4" t="n">
        <f aca="false">IF(情景参数!E2="原表",驱动复算!W10,F11*情景参数!C2)</f>
        <v>263.27</v>
      </c>
      <c r="I11" s="4" t="n">
        <f aca="false">IF(情景参数!E2="原表",驱动复算!U10,G11+H11)</f>
        <v>8541.38</v>
      </c>
      <c r="J11" s="4" t="n">
        <f aca="false">(F11-I11)*(1-情景参数!F2)</f>
        <v>4622.05</v>
      </c>
      <c r="K11" s="4" t="n">
        <f aca="false">偿债原表!C11</f>
        <v>2000</v>
      </c>
      <c r="L11" s="4" t="n">
        <f aca="false">偿债原表!D11</f>
        <v>730.2</v>
      </c>
      <c r="M11" s="4" t="n">
        <f aca="false">K11+L11</f>
        <v>2730.2</v>
      </c>
      <c r="N11" s="4" t="n">
        <f aca="false">J11-M11</f>
        <v>1891.85</v>
      </c>
      <c r="O11" s="4" t="n">
        <f aca="false">O10+N11</f>
        <v>-7307.03</v>
      </c>
      <c r="P11" s="4" t="n">
        <f aca="false">MAX(0,-(R10+N11))</f>
        <v>0</v>
      </c>
      <c r="Q11" s="4" t="n">
        <f aca="false">Q10+P11</f>
        <v>16145.31</v>
      </c>
      <c r="R11" s="4" t="n">
        <f aca="false">O11+Q11</f>
        <v>8838.28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12" t="n">
        <v>10</v>
      </c>
      <c r="D12" s="12" t="n">
        <v>2033</v>
      </c>
      <c r="E12" s="4" t="n">
        <f aca="false">INDEX(驱动复算!A11:X11,1,情景参数!B2)</f>
        <v>14139.86</v>
      </c>
      <c r="F12" s="4" t="n">
        <f aca="false">E12*(1-情景参数!D2)</f>
        <v>14139.86</v>
      </c>
      <c r="G12" s="4" t="n">
        <f aca="false">IF(情景参数!E2="原表",驱动复算!U11-驱动复算!W11,驱动复算!P11)</f>
        <v>8526.47</v>
      </c>
      <c r="H12" s="4" t="n">
        <f aca="false">IF(情景参数!E2="原表",驱动复算!W11,F12*情景参数!C2)</f>
        <v>282.8</v>
      </c>
      <c r="I12" s="4" t="n">
        <f aca="false">IF(情景参数!E2="原表",驱动复算!U11,G12+H12)</f>
        <v>8809.27</v>
      </c>
      <c r="J12" s="4" t="n">
        <f aca="false">(F12-I12)*(1-情景参数!F2)</f>
        <v>5330.59</v>
      </c>
      <c r="K12" s="4" t="n">
        <f aca="false">偿债原表!C12</f>
        <v>0</v>
      </c>
      <c r="L12" s="4" t="n">
        <f aca="false">偿债原表!D12</f>
        <v>673.2</v>
      </c>
      <c r="M12" s="4" t="n">
        <f aca="false">K12+L12</f>
        <v>673.2</v>
      </c>
      <c r="N12" s="4" t="n">
        <f aca="false">J12-M12</f>
        <v>4657.39</v>
      </c>
      <c r="O12" s="4" t="n">
        <f aca="false">O11+N12</f>
        <v>-2649.64</v>
      </c>
      <c r="P12" s="4" t="n">
        <f aca="false">MAX(0,-(R11+N12))</f>
        <v>0</v>
      </c>
      <c r="Q12" s="4" t="n">
        <f aca="false">Q11+P12</f>
        <v>16145.31</v>
      </c>
      <c r="R12" s="4" t="n">
        <f aca="false">O12+Q12</f>
        <v>13495.67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12" t="n">
        <v>11</v>
      </c>
      <c r="D13" s="12" t="n">
        <v>2034</v>
      </c>
      <c r="E13" s="4" t="n">
        <f aca="false">INDEX(驱动复算!A12:X12,1,情景参数!B2)</f>
        <v>14781.69</v>
      </c>
      <c r="F13" s="4" t="n">
        <f aca="false">E13*(1-情景参数!D2)</f>
        <v>14781.69</v>
      </c>
      <c r="G13" s="4" t="n">
        <f aca="false">IF(情景参数!E2="原表",驱动复算!U12-驱动复算!W12,驱动复算!P12)</f>
        <v>8782.26</v>
      </c>
      <c r="H13" s="4" t="n">
        <f aca="false">IF(情景参数!E2="原表",驱动复算!W12,F13*情景参数!C2)</f>
        <v>295.63</v>
      </c>
      <c r="I13" s="4" t="n">
        <f aca="false">IF(情景参数!E2="原表",驱动复算!U12,G13+H13)</f>
        <v>9077.89</v>
      </c>
      <c r="J13" s="4" t="n">
        <f aca="false">(F13-I13)*(1-情景参数!F2)</f>
        <v>5703.8</v>
      </c>
      <c r="K13" s="4" t="n">
        <f aca="false">偿债原表!C13</f>
        <v>0</v>
      </c>
      <c r="L13" s="4" t="n">
        <f aca="false">偿债原表!D13</f>
        <v>673.2</v>
      </c>
      <c r="M13" s="4" t="n">
        <f aca="false">K13+L13</f>
        <v>673.2</v>
      </c>
      <c r="N13" s="4" t="n">
        <f aca="false">J13-M13</f>
        <v>5030.6</v>
      </c>
      <c r="O13" s="4" t="n">
        <f aca="false">O12+N13</f>
        <v>2380.96</v>
      </c>
      <c r="P13" s="4" t="n">
        <f aca="false">MAX(0,-(R12+N13))</f>
        <v>0</v>
      </c>
      <c r="Q13" s="4" t="n">
        <f aca="false">Q12+P13</f>
        <v>16145.31</v>
      </c>
      <c r="R13" s="4" t="n">
        <f aca="false">O13+Q13</f>
        <v>18526.27</v>
      </c>
    </row>
    <row r="14" customFormat="false" ht="15" hidden="false" customHeight="false" outlineLevel="0" collapsed="false">
      <c r="A14" s="2" t="s">
        <v>38</v>
      </c>
      <c r="B14" s="2" t="s">
        <v>39</v>
      </c>
      <c r="C14" s="12" t="n">
        <v>12</v>
      </c>
      <c r="D14" s="12" t="n">
        <v>2035</v>
      </c>
      <c r="E14" s="4" t="n">
        <f aca="false">INDEX(驱动复算!A13:X13,1,情景参数!B2)</f>
        <v>15455.6</v>
      </c>
      <c r="F14" s="4" t="n">
        <f aca="false">E14*(1-情景参数!D2)</f>
        <v>15455.6</v>
      </c>
      <c r="G14" s="4" t="n">
        <f aca="false">IF(情景参数!E2="原表",驱动复算!U13-驱动复算!W13,驱动复算!P13)</f>
        <v>9045.74</v>
      </c>
      <c r="H14" s="4" t="n">
        <f aca="false">IF(情景参数!E2="原表",驱动复算!W13,F14*情景参数!C2)</f>
        <v>309.11</v>
      </c>
      <c r="I14" s="4" t="n">
        <f aca="false">IF(情景参数!E2="原表",驱动复算!U13,G14+H14)</f>
        <v>9354.85</v>
      </c>
      <c r="J14" s="4" t="n">
        <f aca="false">(F14-I14)*(1-情景参数!F2)</f>
        <v>6100.75</v>
      </c>
      <c r="K14" s="4" t="n">
        <f aca="false">偿债原表!C14</f>
        <v>0</v>
      </c>
      <c r="L14" s="4" t="n">
        <f aca="false">偿债原表!D14</f>
        <v>673.2</v>
      </c>
      <c r="M14" s="4" t="n">
        <f aca="false">K14+L14</f>
        <v>673.2</v>
      </c>
      <c r="N14" s="4" t="n">
        <f aca="false">J14-M14</f>
        <v>5427.55</v>
      </c>
      <c r="O14" s="4" t="n">
        <f aca="false">O13+N14</f>
        <v>7808.51</v>
      </c>
      <c r="P14" s="4" t="n">
        <f aca="false">MAX(0,-(R13+N14))</f>
        <v>0</v>
      </c>
      <c r="Q14" s="4" t="n">
        <f aca="false">Q13+P14</f>
        <v>16145.31</v>
      </c>
      <c r="R14" s="4" t="n">
        <f aca="false">O14+Q14</f>
        <v>23953.82</v>
      </c>
    </row>
    <row r="15" customFormat="false" ht="15" hidden="false" customHeight="false" outlineLevel="0" collapsed="false">
      <c r="A15" s="2" t="s">
        <v>38</v>
      </c>
      <c r="B15" s="2" t="s">
        <v>39</v>
      </c>
      <c r="C15" s="12" t="n">
        <v>13</v>
      </c>
      <c r="D15" s="12" t="n">
        <v>2036</v>
      </c>
      <c r="E15" s="4" t="n">
        <f aca="false">INDEX(驱动复算!A14:X14,1,情景参数!B2)</f>
        <v>16163.21</v>
      </c>
      <c r="F15" s="4" t="n">
        <f aca="false">E15*(1-情景参数!D2)</f>
        <v>16163.21</v>
      </c>
      <c r="G15" s="4" t="n">
        <f aca="false">IF(情景参数!E2="原表",驱动复算!U14-驱动复算!W14,驱动复算!P14)</f>
        <v>9317.11</v>
      </c>
      <c r="H15" s="4" t="n">
        <f aca="false">IF(情景参数!E2="原表",驱动复算!W14,F15*情景参数!C2)</f>
        <v>323.26</v>
      </c>
      <c r="I15" s="4" t="n">
        <f aca="false">IF(情景参数!E2="原表",驱动复算!U14,G15+H15)</f>
        <v>9640.37</v>
      </c>
      <c r="J15" s="4" t="n">
        <f aca="false">(F15-I15)*(1-情景参数!F2)</f>
        <v>6522.84</v>
      </c>
      <c r="K15" s="4" t="n">
        <f aca="false">偿债原表!C15</f>
        <v>0</v>
      </c>
      <c r="L15" s="4" t="n">
        <f aca="false">偿债原表!D15</f>
        <v>673.2</v>
      </c>
      <c r="M15" s="4" t="n">
        <f aca="false">K15+L15</f>
        <v>673.2</v>
      </c>
      <c r="N15" s="4" t="n">
        <f aca="false">J15-M15</f>
        <v>5849.64</v>
      </c>
      <c r="O15" s="4" t="n">
        <f aca="false">O14+N15</f>
        <v>13658.15</v>
      </c>
      <c r="P15" s="4" t="n">
        <f aca="false">MAX(0,-(R14+N15))</f>
        <v>0</v>
      </c>
      <c r="Q15" s="4" t="n">
        <f aca="false">Q14+P15</f>
        <v>16145.31</v>
      </c>
      <c r="R15" s="4" t="n">
        <f aca="false">O15+Q15</f>
        <v>29803.46</v>
      </c>
    </row>
    <row r="16" customFormat="false" ht="15" hidden="false" customHeight="false" outlineLevel="0" collapsed="false">
      <c r="A16" s="2" t="s">
        <v>38</v>
      </c>
      <c r="B16" s="2" t="s">
        <v>39</v>
      </c>
      <c r="C16" s="12" t="n">
        <v>14</v>
      </c>
      <c r="D16" s="12" t="n">
        <v>2037</v>
      </c>
      <c r="E16" s="4" t="n">
        <f aca="false">INDEX(驱动复算!A15:X15,1,情景参数!B2)</f>
        <v>16906.2</v>
      </c>
      <c r="F16" s="4" t="n">
        <f aca="false">E16*(1-情景参数!D2)</f>
        <v>16906.2</v>
      </c>
      <c r="G16" s="4" t="n">
        <f aca="false">IF(情景参数!E2="原表",驱动复算!U15-驱动复算!W15,驱动复算!P15)</f>
        <v>9596.62</v>
      </c>
      <c r="H16" s="4" t="n">
        <f aca="false">IF(情景参数!E2="原表",驱动复算!W15,F16*情景参数!C2)</f>
        <v>329.21</v>
      </c>
      <c r="I16" s="4" t="n">
        <f aca="false">IF(情景参数!E2="原表",驱动复算!U15,G16+H16)</f>
        <v>9925.83</v>
      </c>
      <c r="J16" s="4" t="n">
        <f aca="false">(F16-I16)*(1-情景参数!F2)</f>
        <v>6980.37</v>
      </c>
      <c r="K16" s="4" t="n">
        <f aca="false">偿债原表!C16</f>
        <v>1000</v>
      </c>
      <c r="L16" s="4" t="n">
        <f aca="false">偿债原表!D16</f>
        <v>673.2</v>
      </c>
      <c r="M16" s="4" t="n">
        <f aca="false">K16+L16</f>
        <v>1673.2</v>
      </c>
      <c r="N16" s="4" t="n">
        <f aca="false">J16-M16</f>
        <v>5307.17</v>
      </c>
      <c r="O16" s="4" t="n">
        <f aca="false">O15+N16</f>
        <v>18965.32</v>
      </c>
      <c r="P16" s="4" t="n">
        <f aca="false">MAX(0,-(R15+N16))</f>
        <v>0</v>
      </c>
      <c r="Q16" s="4" t="n">
        <f aca="false">Q15+P16</f>
        <v>16145.31</v>
      </c>
      <c r="R16" s="4" t="n">
        <f aca="false">O16+Q16</f>
        <v>35110.63</v>
      </c>
    </row>
    <row r="17" customFormat="false" ht="15" hidden="false" customHeight="false" outlineLevel="0" collapsed="false">
      <c r="A17" s="2" t="s">
        <v>38</v>
      </c>
      <c r="B17" s="2" t="s">
        <v>39</v>
      </c>
      <c r="C17" s="12" t="n">
        <v>15</v>
      </c>
      <c r="D17" s="12" t="n">
        <v>2038</v>
      </c>
      <c r="E17" s="4" t="n">
        <f aca="false">INDEX(驱动复算!A16:X16,1,情景参数!B2)</f>
        <v>17546.68</v>
      </c>
      <c r="F17" s="4" t="n">
        <f aca="false">E17*(1-情景参数!D2)</f>
        <v>17546.68</v>
      </c>
      <c r="G17" s="4" t="n">
        <f aca="false">IF(情景参数!E2="原表",驱动复算!U16-驱动复算!W16,驱动复算!P16)</f>
        <v>9884.51</v>
      </c>
      <c r="H17" s="4" t="n">
        <f aca="false">IF(情景参数!E2="原表",驱动复算!W16,F17*情景参数!C2)</f>
        <v>341.84</v>
      </c>
      <c r="I17" s="4" t="n">
        <f aca="false">IF(情景参数!E2="原表",驱动复算!U16,G17+H17)</f>
        <v>10226.35</v>
      </c>
      <c r="J17" s="4" t="n">
        <f aca="false">(F17-I17)*(1-情景参数!F2)</f>
        <v>7320.33</v>
      </c>
      <c r="K17" s="4" t="n">
        <f aca="false">偿债原表!C17</f>
        <v>0</v>
      </c>
      <c r="L17" s="4" t="n">
        <f aca="false">偿债原表!D17</f>
        <v>644</v>
      </c>
      <c r="M17" s="4" t="n">
        <f aca="false">K17+L17</f>
        <v>644</v>
      </c>
      <c r="N17" s="4" t="n">
        <f aca="false">J17-M17</f>
        <v>6676.33</v>
      </c>
      <c r="O17" s="4" t="n">
        <f aca="false">O16+N17</f>
        <v>25641.65</v>
      </c>
      <c r="P17" s="4" t="n">
        <f aca="false">MAX(0,-(R16+N17))</f>
        <v>0</v>
      </c>
      <c r="Q17" s="4" t="n">
        <f aca="false">Q16+P17</f>
        <v>16145.31</v>
      </c>
      <c r="R17" s="4" t="n">
        <f aca="false">O17+Q17</f>
        <v>41786.96</v>
      </c>
    </row>
    <row r="18" customFormat="false" ht="15" hidden="false" customHeight="false" outlineLevel="0" collapsed="false">
      <c r="A18" s="2" t="s">
        <v>38</v>
      </c>
      <c r="B18" s="2" t="s">
        <v>39</v>
      </c>
      <c r="C18" s="12" t="n">
        <v>16</v>
      </c>
      <c r="D18" s="12" t="n">
        <v>2039</v>
      </c>
      <c r="E18" s="4" t="n">
        <f aca="false">INDEX(驱动复算!A17:X17,1,情景参数!B2)</f>
        <v>17864.98</v>
      </c>
      <c r="F18" s="4" t="n">
        <f aca="false">E18*(1-情景参数!D2)</f>
        <v>17864.98</v>
      </c>
      <c r="G18" s="4" t="n">
        <f aca="false">IF(情景参数!E2="原表",驱动复算!U17-驱动复算!W17,驱动复算!P17)</f>
        <v>10181.04</v>
      </c>
      <c r="H18" s="4" t="n">
        <f aca="false">IF(情景参数!E2="原表",驱动复算!W17,F18*情景参数!C2)</f>
        <v>348.02</v>
      </c>
      <c r="I18" s="4" t="n">
        <f aca="false">IF(情景参数!E2="原表",驱动复算!U17,G18+H18)</f>
        <v>10529.06</v>
      </c>
      <c r="J18" s="4" t="n">
        <f aca="false">(F18-I18)*(1-情景参数!F2)</f>
        <v>7335.92</v>
      </c>
      <c r="K18" s="4" t="n">
        <f aca="false">偿债原表!C18</f>
        <v>0</v>
      </c>
      <c r="L18" s="4" t="n">
        <f aca="false">偿债原表!D18</f>
        <v>644</v>
      </c>
      <c r="M18" s="4" t="n">
        <f aca="false">K18+L18</f>
        <v>644</v>
      </c>
      <c r="N18" s="4" t="n">
        <f aca="false">J18-M18</f>
        <v>6691.92</v>
      </c>
      <c r="O18" s="4" t="n">
        <f aca="false">O17+N18</f>
        <v>32333.57</v>
      </c>
      <c r="P18" s="4" t="n">
        <f aca="false">MAX(0,-(R17+N18))</f>
        <v>0</v>
      </c>
      <c r="Q18" s="4" t="n">
        <f aca="false">Q17+P18</f>
        <v>16145.31</v>
      </c>
      <c r="R18" s="4" t="n">
        <f aca="false">O18+Q18</f>
        <v>48478.88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12" t="n">
        <v>17</v>
      </c>
      <c r="D19" s="12" t="n">
        <v>2040</v>
      </c>
      <c r="E19" s="4" t="n">
        <f aca="false">INDEX(驱动复算!A18:X18,1,情景参数!B2)</f>
        <v>18189.64</v>
      </c>
      <c r="F19" s="4" t="n">
        <f aca="false">E19*(1-情景参数!D2)</f>
        <v>18189.64</v>
      </c>
      <c r="G19" s="4" t="n">
        <f aca="false">IF(情景参数!E2="原表",驱动复算!U18-驱动复算!W18,驱动复算!P18)</f>
        <v>10486.47</v>
      </c>
      <c r="H19" s="4" t="n">
        <f aca="false">IF(情景参数!E2="原表",驱动复算!W18,F19*情景参数!C2)</f>
        <v>354.33</v>
      </c>
      <c r="I19" s="4" t="n">
        <f aca="false">IF(情景参数!E2="原表",驱动复算!U18,G19+H19)</f>
        <v>10840.8</v>
      </c>
      <c r="J19" s="4" t="n">
        <f aca="false">(F19-I19)*(1-情景参数!F2)</f>
        <v>7348.84</v>
      </c>
      <c r="K19" s="4" t="n">
        <f aca="false">偿债原表!C19</f>
        <v>0</v>
      </c>
      <c r="L19" s="4" t="n">
        <f aca="false">偿债原表!D19</f>
        <v>644</v>
      </c>
      <c r="M19" s="4" t="n">
        <f aca="false">K19+L19</f>
        <v>644</v>
      </c>
      <c r="N19" s="4" t="n">
        <f aca="false">J19-M19</f>
        <v>6704.84</v>
      </c>
      <c r="O19" s="4" t="n">
        <f aca="false">O18+N19</f>
        <v>39038.41</v>
      </c>
      <c r="P19" s="4" t="n">
        <f aca="false">MAX(0,-(R18+N19))</f>
        <v>0</v>
      </c>
      <c r="Q19" s="4" t="n">
        <f aca="false">Q18+P19</f>
        <v>16145.31</v>
      </c>
      <c r="R19" s="4" t="n">
        <f aca="false">O19+Q19</f>
        <v>55183.72</v>
      </c>
    </row>
    <row r="20" customFormat="false" ht="15" hidden="false" customHeight="false" outlineLevel="0" collapsed="false">
      <c r="A20" s="2" t="s">
        <v>38</v>
      </c>
      <c r="B20" s="2" t="s">
        <v>39</v>
      </c>
      <c r="C20" s="12" t="n">
        <v>18</v>
      </c>
      <c r="D20" s="12" t="n">
        <v>2041</v>
      </c>
      <c r="E20" s="4" t="n">
        <f aca="false">INDEX(驱动复算!A19:X19,1,情景参数!B2)</f>
        <v>18520.8</v>
      </c>
      <c r="F20" s="4" t="n">
        <f aca="false">E20*(1-情景参数!D2)</f>
        <v>18520.8</v>
      </c>
      <c r="G20" s="4" t="n">
        <f aca="false">IF(情景参数!E2="原表",驱动复算!U19-驱动复算!W19,驱动复算!P19)</f>
        <v>10801.07</v>
      </c>
      <c r="H20" s="4" t="n">
        <f aca="false">IF(情景参数!E2="原表",驱动复算!W19,F20*情景参数!C2)</f>
        <v>360.77</v>
      </c>
      <c r="I20" s="4" t="n">
        <f aca="false">IF(情景参数!E2="原表",驱动复算!U19,G20+H20)</f>
        <v>11161.84</v>
      </c>
      <c r="J20" s="4" t="n">
        <f aca="false">(F20-I20)*(1-情景参数!F2)</f>
        <v>7358.96</v>
      </c>
      <c r="K20" s="4" t="n">
        <f aca="false">偿债原表!C20</f>
        <v>20000</v>
      </c>
      <c r="L20" s="4" t="n">
        <f aca="false">偿债原表!D20</f>
        <v>644</v>
      </c>
      <c r="M20" s="4" t="n">
        <f aca="false">K20+L20</f>
        <v>20644</v>
      </c>
      <c r="N20" s="4" t="n">
        <f aca="false">J20-M20</f>
        <v>-13285.04</v>
      </c>
      <c r="O20" s="4" t="n">
        <f aca="false">O19+N20</f>
        <v>25753.37</v>
      </c>
      <c r="P20" s="4" t="n">
        <f aca="false">MAX(0,-(R19+N20))</f>
        <v>0</v>
      </c>
      <c r="Q20" s="4" t="n">
        <f aca="false">Q19+P20</f>
        <v>16145.31</v>
      </c>
      <c r="R20" s="4" t="n">
        <f aca="false">O20+Q20</f>
        <v>41898.68</v>
      </c>
    </row>
    <row r="21" customFormat="false" ht="15" hidden="false" customHeight="false" outlineLevel="0" collapsed="false">
      <c r="A21" s="2" t="s">
        <v>38</v>
      </c>
      <c r="B21" s="2" t="s">
        <v>40</v>
      </c>
      <c r="C21" s="12" t="n">
        <v>0</v>
      </c>
      <c r="D21" s="13" t="s">
        <v>248</v>
      </c>
      <c r="E21" s="4" t="n">
        <f aca="false">0</f>
        <v>0</v>
      </c>
      <c r="F21" s="4" t="n">
        <f aca="false">E21*(1-情景参数!D2)</f>
        <v>0</v>
      </c>
      <c r="G21" s="4" t="n">
        <f aca="false">0</f>
        <v>0</v>
      </c>
      <c r="H21" s="4" t="n">
        <f aca="false">0</f>
        <v>0</v>
      </c>
      <c r="I21" s="4" t="n">
        <f aca="false">0</f>
        <v>0</v>
      </c>
      <c r="J21" s="4" t="n">
        <f aca="false">(F21-I21)*(1-情景参数!F2)</f>
        <v>0</v>
      </c>
      <c r="K21" s="4" t="n">
        <f aca="false">偿债原表!F2</f>
        <v>0</v>
      </c>
      <c r="L21" s="4" t="n">
        <f aca="false">偿债原表!G2</f>
        <v>1374.2</v>
      </c>
      <c r="M21" s="4" t="n">
        <f aca="false">K21+L21</f>
        <v>1374.2</v>
      </c>
      <c r="N21" s="4" t="n">
        <f aca="false">J21-M21</f>
        <v>-1374.2</v>
      </c>
      <c r="O21" s="4" t="n">
        <f aca="false">N21</f>
        <v>-1374.2</v>
      </c>
      <c r="P21" s="4" t="n">
        <f aca="false">MAX(0,-N21)</f>
        <v>1374.2</v>
      </c>
      <c r="Q21" s="4" t="n">
        <f aca="false">P21</f>
        <v>1374.2</v>
      </c>
      <c r="R21" s="4" t="n">
        <f aca="false">O21+Q21</f>
        <v>0</v>
      </c>
    </row>
    <row r="22" customFormat="false" ht="15" hidden="false" customHeight="false" outlineLevel="0" collapsed="false">
      <c r="A22" s="2" t="s">
        <v>38</v>
      </c>
      <c r="B22" s="2" t="s">
        <v>40</v>
      </c>
      <c r="C22" s="12" t="n">
        <v>1</v>
      </c>
      <c r="D22" s="12" t="n">
        <v>2024</v>
      </c>
      <c r="E22" s="4" t="n">
        <f aca="false">INDEX(驱动复算!A2:X2,1,情景参数!B2)</f>
        <v>0</v>
      </c>
      <c r="F22" s="4" t="n">
        <f aca="false">E22*(1-情景参数!D2)</f>
        <v>0</v>
      </c>
      <c r="G22" s="4" t="n">
        <f aca="false">IF(情景参数!E2="原表",驱动复算!U2-驱动复算!W2,驱动复算!P2)</f>
        <v>0</v>
      </c>
      <c r="H22" s="4" t="n">
        <f aca="false">IF(情景参数!E2="原表",驱动复算!W2,F22*情景参数!C2)</f>
        <v>0</v>
      </c>
      <c r="I22" s="4" t="n">
        <f aca="false">IF(情景参数!E2="原表",驱动复算!U2,G22+H22)</f>
        <v>0</v>
      </c>
      <c r="J22" s="4" t="n">
        <f aca="false">(F22-I22)*(1-情景参数!F2)</f>
        <v>0</v>
      </c>
      <c r="K22" s="4" t="n">
        <f aca="false">偿债原表!F3</f>
        <v>0</v>
      </c>
      <c r="L22" s="4" t="n">
        <f aca="false">偿债原表!G3</f>
        <v>1107.58</v>
      </c>
      <c r="M22" s="4" t="n">
        <f aca="false">K22+L22</f>
        <v>1107.58</v>
      </c>
      <c r="N22" s="4" t="n">
        <f aca="false">J22-M22</f>
        <v>-1107.58</v>
      </c>
      <c r="O22" s="4" t="n">
        <f aca="false">O21+N22</f>
        <v>-2481.78</v>
      </c>
      <c r="P22" s="4" t="n">
        <f aca="false">MAX(0,-(R21+N22))</f>
        <v>1107.58</v>
      </c>
      <c r="Q22" s="4" t="n">
        <f aca="false">Q21+P22</f>
        <v>2481.78</v>
      </c>
      <c r="R22" s="4" t="n">
        <f aca="false">O22+Q22</f>
        <v>0</v>
      </c>
    </row>
    <row r="23" customFormat="false" ht="15" hidden="false" customHeight="false" outlineLevel="0" collapsed="false">
      <c r="A23" s="2" t="s">
        <v>38</v>
      </c>
      <c r="B23" s="2" t="s">
        <v>40</v>
      </c>
      <c r="C23" s="12" t="n">
        <v>2</v>
      </c>
      <c r="D23" s="12" t="n">
        <v>2025</v>
      </c>
      <c r="E23" s="4" t="n">
        <f aca="false">INDEX(驱动复算!A3:X3,1,情景参数!B2)</f>
        <v>0</v>
      </c>
      <c r="F23" s="4" t="n">
        <f aca="false">E23*(1-情景参数!D2)</f>
        <v>0</v>
      </c>
      <c r="G23" s="4" t="n">
        <f aca="false">IF(情景参数!E2="原表",驱动复算!U3-驱动复算!W3,驱动复算!P3)</f>
        <v>0</v>
      </c>
      <c r="H23" s="4" t="n">
        <f aca="false">IF(情景参数!E2="原表",驱动复算!W3,F23*情景参数!C2)</f>
        <v>0</v>
      </c>
      <c r="I23" s="4" t="n">
        <f aca="false">IF(情景参数!E2="原表",驱动复算!U3,G23+H23)</f>
        <v>0</v>
      </c>
      <c r="J23" s="4" t="n">
        <f aca="false">(F23-I23)*(1-情景参数!F2)</f>
        <v>0</v>
      </c>
      <c r="K23" s="4" t="n">
        <f aca="false">偿债原表!F4</f>
        <v>0</v>
      </c>
      <c r="L23" s="4" t="n">
        <f aca="false">偿债原表!G4</f>
        <v>1107.58</v>
      </c>
      <c r="M23" s="4" t="n">
        <f aca="false">K23+L23</f>
        <v>1107.58</v>
      </c>
      <c r="N23" s="4" t="n">
        <f aca="false">J23-M23</f>
        <v>-1107.58</v>
      </c>
      <c r="O23" s="4" t="n">
        <f aca="false">O22+N23</f>
        <v>-3589.36</v>
      </c>
      <c r="P23" s="4" t="n">
        <f aca="false">MAX(0,-(R22+N23))</f>
        <v>1107.58</v>
      </c>
      <c r="Q23" s="4" t="n">
        <f aca="false">Q22+P23</f>
        <v>3589.36</v>
      </c>
      <c r="R23" s="4" t="n">
        <f aca="false">O23+Q23</f>
        <v>0</v>
      </c>
    </row>
    <row r="24" customFormat="false" ht="15" hidden="false" customHeight="false" outlineLevel="0" collapsed="false">
      <c r="A24" s="2" t="s">
        <v>38</v>
      </c>
      <c r="B24" s="2" t="s">
        <v>40</v>
      </c>
      <c r="C24" s="12" t="n">
        <v>3</v>
      </c>
      <c r="D24" s="12" t="n">
        <v>2026</v>
      </c>
      <c r="E24" s="4" t="n">
        <f aca="false">INDEX(驱动复算!A4:X4,1,情景参数!B2)</f>
        <v>0</v>
      </c>
      <c r="F24" s="4" t="n">
        <f aca="false">E24*(1-情景参数!D2)</f>
        <v>0</v>
      </c>
      <c r="G24" s="4" t="n">
        <f aca="false">IF(情景参数!E2="原表",驱动复算!U4-驱动复算!W4,驱动复算!P4)</f>
        <v>0</v>
      </c>
      <c r="H24" s="4" t="n">
        <f aca="false">IF(情景参数!E2="原表",驱动复算!W4,F24*情景参数!C2)</f>
        <v>0</v>
      </c>
      <c r="I24" s="4" t="n">
        <f aca="false">IF(情景参数!E2="原表",驱动复算!U4,G24+H24)</f>
        <v>0</v>
      </c>
      <c r="J24" s="4" t="n">
        <f aca="false">(F24-I24)*(1-情景参数!F2)</f>
        <v>0</v>
      </c>
      <c r="K24" s="4" t="n">
        <f aca="false">偿债原表!F5</f>
        <v>0</v>
      </c>
      <c r="L24" s="4" t="n">
        <f aca="false">偿债原表!G5</f>
        <v>1107.58</v>
      </c>
      <c r="M24" s="4" t="n">
        <f aca="false">K24+L24</f>
        <v>1107.58</v>
      </c>
      <c r="N24" s="4" t="n">
        <f aca="false">J24-M24</f>
        <v>-1107.58</v>
      </c>
      <c r="O24" s="4" t="n">
        <f aca="false">O23+N24</f>
        <v>-4696.94</v>
      </c>
      <c r="P24" s="4" t="n">
        <f aca="false">MAX(0,-(R23+N24))</f>
        <v>1107.58</v>
      </c>
      <c r="Q24" s="4" t="n">
        <f aca="false">Q23+P24</f>
        <v>4696.94</v>
      </c>
      <c r="R24" s="4" t="n">
        <f aca="false">O24+Q24</f>
        <v>0</v>
      </c>
    </row>
    <row r="25" customFormat="false" ht="15" hidden="false" customHeight="false" outlineLevel="0" collapsed="false">
      <c r="A25" s="2" t="s">
        <v>38</v>
      </c>
      <c r="B25" s="2" t="s">
        <v>40</v>
      </c>
      <c r="C25" s="12" t="n">
        <v>4</v>
      </c>
      <c r="D25" s="12" t="n">
        <v>2027</v>
      </c>
      <c r="E25" s="4" t="n">
        <f aca="false">INDEX(驱动复算!A5:X5,1,情景参数!B2)</f>
        <v>0</v>
      </c>
      <c r="F25" s="4" t="n">
        <f aca="false">E25*(1-情景参数!D2)</f>
        <v>0</v>
      </c>
      <c r="G25" s="4" t="n">
        <f aca="false">IF(情景参数!E2="原表",驱动复算!U5-驱动复算!W5,驱动复算!P5)</f>
        <v>0</v>
      </c>
      <c r="H25" s="4" t="n">
        <f aca="false">IF(情景参数!E2="原表",驱动复算!W5,F25*情景参数!C2)</f>
        <v>0</v>
      </c>
      <c r="I25" s="4" t="n">
        <f aca="false">IF(情景参数!E2="原表",驱动复算!U5,G25+H25)</f>
        <v>0</v>
      </c>
      <c r="J25" s="4" t="n">
        <f aca="false">(F25-I25)*(1-情景参数!F2)</f>
        <v>0</v>
      </c>
      <c r="K25" s="4" t="n">
        <f aca="false">偿债原表!F6</f>
        <v>0</v>
      </c>
      <c r="L25" s="4" t="n">
        <f aca="false">偿债原表!G6</f>
        <v>1107.58</v>
      </c>
      <c r="M25" s="4" t="n">
        <f aca="false">K25+L25</f>
        <v>1107.58</v>
      </c>
      <c r="N25" s="4" t="n">
        <f aca="false">J25-M25</f>
        <v>-1107.58</v>
      </c>
      <c r="O25" s="4" t="n">
        <f aca="false">O24+N25</f>
        <v>-5804.52</v>
      </c>
      <c r="P25" s="4" t="n">
        <f aca="false">MAX(0,-(R24+N25))</f>
        <v>1107.58</v>
      </c>
      <c r="Q25" s="4" t="n">
        <f aca="false">Q24+P25</f>
        <v>5804.52</v>
      </c>
      <c r="R25" s="4" t="n">
        <f aca="false">O25+Q25</f>
        <v>0</v>
      </c>
    </row>
    <row r="26" customFormat="false" ht="15" hidden="false" customHeight="false" outlineLevel="0" collapsed="false">
      <c r="A26" s="2" t="s">
        <v>38</v>
      </c>
      <c r="B26" s="2" t="s">
        <v>40</v>
      </c>
      <c r="C26" s="12" t="n">
        <v>5</v>
      </c>
      <c r="D26" s="12" t="n">
        <v>2028</v>
      </c>
      <c r="E26" s="4" t="n">
        <f aca="false">INDEX(驱动复算!A6:X6,1,情景参数!B2)</f>
        <v>9234.58</v>
      </c>
      <c r="F26" s="4" t="n">
        <f aca="false">E26*(1-情景参数!D2)</f>
        <v>9234.58</v>
      </c>
      <c r="G26" s="4" t="n">
        <f aca="false">IF(情景参数!E2="原表",驱动复算!U6-驱动复算!W6,驱动复算!P6)</f>
        <v>7355</v>
      </c>
      <c r="H26" s="4" t="n">
        <f aca="false">IF(情景参数!E2="原表",驱动复算!W6,F26*情景参数!C2)</f>
        <v>184.69</v>
      </c>
      <c r="I26" s="4" t="n">
        <f aca="false">IF(情景参数!E2="原表",驱动复算!U6,G26+H26)</f>
        <v>7539.69</v>
      </c>
      <c r="J26" s="4" t="n">
        <f aca="false">(F26-I26)*(1-情景参数!F2)</f>
        <v>1694.89</v>
      </c>
      <c r="K26" s="4" t="n">
        <f aca="false">偿债原表!F7</f>
        <v>1400</v>
      </c>
      <c r="L26" s="4" t="n">
        <f aca="false">偿债原表!G7</f>
        <v>1107.58</v>
      </c>
      <c r="M26" s="4" t="n">
        <f aca="false">K26+L26</f>
        <v>2507.58</v>
      </c>
      <c r="N26" s="4" t="n">
        <f aca="false">J26-M26</f>
        <v>-812.69</v>
      </c>
      <c r="O26" s="4" t="n">
        <f aca="false">O25+N26</f>
        <v>-6617.21</v>
      </c>
      <c r="P26" s="4" t="n">
        <f aca="false">MAX(0,-(R25+N26))</f>
        <v>812.69</v>
      </c>
      <c r="Q26" s="4" t="n">
        <f aca="false">Q25+P26</f>
        <v>6617.21</v>
      </c>
      <c r="R26" s="4" t="n">
        <f aca="false">O26+Q26</f>
        <v>0</v>
      </c>
    </row>
    <row r="27" customFormat="false" ht="15" hidden="false" customHeight="false" outlineLevel="0" collapsed="false">
      <c r="A27" s="2" t="s">
        <v>38</v>
      </c>
      <c r="B27" s="2" t="s">
        <v>40</v>
      </c>
      <c r="C27" s="12" t="n">
        <v>6</v>
      </c>
      <c r="D27" s="12" t="n">
        <v>2029</v>
      </c>
      <c r="E27" s="4" t="n">
        <f aca="false">INDEX(驱动复算!A7:X7,1,情景参数!B2)</f>
        <v>10123.19</v>
      </c>
      <c r="F27" s="4" t="n">
        <f aca="false">E27*(1-情景参数!D2)</f>
        <v>10123.19</v>
      </c>
      <c r="G27" s="4" t="n">
        <f aca="false">IF(情景参数!E2="原表",驱动复算!U7-驱动复算!W7,驱动复算!P7)</f>
        <v>7575.65</v>
      </c>
      <c r="H27" s="4" t="n">
        <f aca="false">IF(情景参数!E2="原表",驱动复算!W7,F27*情景参数!C2)</f>
        <v>202.46</v>
      </c>
      <c r="I27" s="4" t="n">
        <f aca="false">IF(情景参数!E2="原表",驱动复算!U7,G27+H27)</f>
        <v>7778.11</v>
      </c>
      <c r="J27" s="4" t="n">
        <f aca="false">(F27-I27)*(1-情景参数!F2)</f>
        <v>2345.08</v>
      </c>
      <c r="K27" s="4" t="n">
        <f aca="false">偿债原表!F8</f>
        <v>0</v>
      </c>
      <c r="L27" s="4" t="n">
        <f aca="false">偿债原表!G8</f>
        <v>1075.8</v>
      </c>
      <c r="M27" s="4" t="n">
        <f aca="false">K27+L27</f>
        <v>1075.8</v>
      </c>
      <c r="N27" s="4" t="n">
        <f aca="false">J27-M27</f>
        <v>1269.28</v>
      </c>
      <c r="O27" s="4" t="n">
        <f aca="false">O26+N27</f>
        <v>-5347.93</v>
      </c>
      <c r="P27" s="4" t="n">
        <f aca="false">MAX(0,-(R26+N27))</f>
        <v>0</v>
      </c>
      <c r="Q27" s="4" t="n">
        <f aca="false">Q26+P27</f>
        <v>6617.21</v>
      </c>
      <c r="R27" s="4" t="n">
        <f aca="false">O27+Q27</f>
        <v>1269.28</v>
      </c>
    </row>
    <row r="28" customFormat="false" ht="15" hidden="false" customHeight="false" outlineLevel="0" collapsed="false">
      <c r="A28" s="2" t="s">
        <v>38</v>
      </c>
      <c r="B28" s="2" t="s">
        <v>40</v>
      </c>
      <c r="C28" s="12" t="n">
        <v>7</v>
      </c>
      <c r="D28" s="12" t="n">
        <v>2030</v>
      </c>
      <c r="E28" s="4" t="n">
        <f aca="false">INDEX(驱动复算!A8:X8,1,情景参数!B2)</f>
        <v>11041.69</v>
      </c>
      <c r="F28" s="4" t="n">
        <f aca="false">E28*(1-情景参数!D2)</f>
        <v>11041.69</v>
      </c>
      <c r="G28" s="4" t="n">
        <f aca="false">IF(情景参数!E2="原表",驱动复算!U8-驱动复算!W8,驱动复算!P8)</f>
        <v>7802.91</v>
      </c>
      <c r="H28" s="4" t="n">
        <f aca="false">IF(情景参数!E2="原表",驱动复算!W8,F28*情景参数!C2)</f>
        <v>220.83</v>
      </c>
      <c r="I28" s="4" t="n">
        <f aca="false">IF(情景参数!E2="原表",驱动复算!U8,G28+H28)</f>
        <v>8023.74</v>
      </c>
      <c r="J28" s="4" t="n">
        <f aca="false">(F28-I28)*(1-情景参数!F2)</f>
        <v>3017.95</v>
      </c>
      <c r="K28" s="4" t="n">
        <f aca="false">偿债原表!F9</f>
        <v>0</v>
      </c>
      <c r="L28" s="4" t="n">
        <f aca="false">偿债原表!G9</f>
        <v>1075.8</v>
      </c>
      <c r="M28" s="4" t="n">
        <f aca="false">K28+L28</f>
        <v>1075.8</v>
      </c>
      <c r="N28" s="4" t="n">
        <f aca="false">J28-M28</f>
        <v>1942.15</v>
      </c>
      <c r="O28" s="4" t="n">
        <f aca="false">O27+N28</f>
        <v>-3405.78</v>
      </c>
      <c r="P28" s="4" t="n">
        <f aca="false">MAX(0,-(R27+N28))</f>
        <v>0</v>
      </c>
      <c r="Q28" s="4" t="n">
        <f aca="false">Q27+P28</f>
        <v>6617.21</v>
      </c>
      <c r="R28" s="4" t="n">
        <f aca="false">O28+Q28</f>
        <v>3211.43</v>
      </c>
    </row>
    <row r="29" customFormat="false" ht="15" hidden="false" customHeight="false" outlineLevel="0" collapsed="false">
      <c r="A29" s="2" t="s">
        <v>38</v>
      </c>
      <c r="B29" s="2" t="s">
        <v>40</v>
      </c>
      <c r="C29" s="12" t="n">
        <v>8</v>
      </c>
      <c r="D29" s="12" t="n">
        <v>2031</v>
      </c>
      <c r="E29" s="4" t="n">
        <f aca="false">INDEX(驱动复算!A9:X9,1,情景参数!B2)</f>
        <v>12052.04</v>
      </c>
      <c r="F29" s="4" t="n">
        <f aca="false">E29*(1-情景参数!D2)</f>
        <v>12052.04</v>
      </c>
      <c r="G29" s="4" t="n">
        <f aca="false">IF(情景参数!E2="原表",驱动复算!U9-驱动复算!W9,驱动复算!P9)</f>
        <v>8037</v>
      </c>
      <c r="H29" s="4" t="n">
        <f aca="false">IF(情景参数!E2="原表",驱动复算!W9,F29*情景参数!C2)</f>
        <v>241.04</v>
      </c>
      <c r="I29" s="4" t="n">
        <f aca="false">IF(情景参数!E2="原表",驱动复算!U9,G29+H29)</f>
        <v>8278.04</v>
      </c>
      <c r="J29" s="4" t="n">
        <f aca="false">(F29-I29)*(1-情景参数!F2)</f>
        <v>3774</v>
      </c>
      <c r="K29" s="4" t="n">
        <f aca="false">偿债原表!F10</f>
        <v>0</v>
      </c>
      <c r="L29" s="4" t="n">
        <f aca="false">偿债原表!G10</f>
        <v>1075.8</v>
      </c>
      <c r="M29" s="4" t="n">
        <f aca="false">K29+L29</f>
        <v>1075.8</v>
      </c>
      <c r="N29" s="4" t="n">
        <f aca="false">J29-M29</f>
        <v>2698.2</v>
      </c>
      <c r="O29" s="4" t="n">
        <f aca="false">O28+N29</f>
        <v>-707.579999999998</v>
      </c>
      <c r="P29" s="4" t="n">
        <f aca="false">MAX(0,-(R28+N29))</f>
        <v>0</v>
      </c>
      <c r="Q29" s="4" t="n">
        <f aca="false">Q28+P29</f>
        <v>6617.21</v>
      </c>
      <c r="R29" s="4" t="n">
        <f aca="false">O29+Q29</f>
        <v>5909.63</v>
      </c>
    </row>
    <row r="30" customFormat="false" ht="15" hidden="false" customHeight="false" outlineLevel="0" collapsed="false">
      <c r="A30" s="2" t="s">
        <v>38</v>
      </c>
      <c r="B30" s="2" t="s">
        <v>40</v>
      </c>
      <c r="C30" s="12" t="n">
        <v>9</v>
      </c>
      <c r="D30" s="12" t="n">
        <v>2032</v>
      </c>
      <c r="E30" s="4" t="n">
        <f aca="false">INDEX(驱动复算!A10:X10,1,情景参数!B2)</f>
        <v>13163.43</v>
      </c>
      <c r="F30" s="4" t="n">
        <f aca="false">E30*(1-情景参数!D2)</f>
        <v>13163.43</v>
      </c>
      <c r="G30" s="4" t="n">
        <f aca="false">IF(情景参数!E2="原表",驱动复算!U10-驱动复算!W10,驱动复算!P10)</f>
        <v>8278.11</v>
      </c>
      <c r="H30" s="4" t="n">
        <f aca="false">IF(情景参数!E2="原表",驱动复算!W10,F30*情景参数!C2)</f>
        <v>263.27</v>
      </c>
      <c r="I30" s="4" t="n">
        <f aca="false">IF(情景参数!E2="原表",驱动复算!U10,G30+H30)</f>
        <v>8541.38</v>
      </c>
      <c r="J30" s="4" t="n">
        <f aca="false">(F30-I30)*(1-情景参数!F2)</f>
        <v>4622.05</v>
      </c>
      <c r="K30" s="4" t="n">
        <f aca="false">偿债原表!F11</f>
        <v>2000</v>
      </c>
      <c r="L30" s="4" t="n">
        <f aca="false">偿债原表!G11</f>
        <v>1075.8</v>
      </c>
      <c r="M30" s="4" t="n">
        <f aca="false">K30+L30</f>
        <v>3075.8</v>
      </c>
      <c r="N30" s="4" t="n">
        <f aca="false">J30-M30</f>
        <v>1546.25</v>
      </c>
      <c r="O30" s="4" t="n">
        <f aca="false">O29+N30</f>
        <v>838.670000000003</v>
      </c>
      <c r="P30" s="4" t="n">
        <f aca="false">MAX(0,-(R29+N30))</f>
        <v>0</v>
      </c>
      <c r="Q30" s="4" t="n">
        <f aca="false">Q29+P30</f>
        <v>6617.21</v>
      </c>
      <c r="R30" s="4" t="n">
        <f aca="false">O30+Q30</f>
        <v>7455.88</v>
      </c>
    </row>
    <row r="31" customFormat="false" ht="15" hidden="false" customHeight="false" outlineLevel="0" collapsed="false">
      <c r="A31" s="2" t="s">
        <v>38</v>
      </c>
      <c r="B31" s="2" t="s">
        <v>40</v>
      </c>
      <c r="C31" s="12" t="n">
        <v>10</v>
      </c>
      <c r="D31" s="12" t="n">
        <v>2033</v>
      </c>
      <c r="E31" s="4" t="n">
        <f aca="false">INDEX(驱动复算!A11:X11,1,情景参数!B2)</f>
        <v>14139.86</v>
      </c>
      <c r="F31" s="4" t="n">
        <f aca="false">E31*(1-情景参数!D2)</f>
        <v>14139.86</v>
      </c>
      <c r="G31" s="4" t="n">
        <f aca="false">IF(情景参数!E2="原表",驱动复算!U11-驱动复算!W11,驱动复算!P11)</f>
        <v>8526.47</v>
      </c>
      <c r="H31" s="4" t="n">
        <f aca="false">IF(情景参数!E2="原表",驱动复算!W11,F31*情景参数!C2)</f>
        <v>282.8</v>
      </c>
      <c r="I31" s="4" t="n">
        <f aca="false">IF(情景参数!E2="原表",驱动复算!U11,G31+H31)</f>
        <v>8809.27</v>
      </c>
      <c r="J31" s="4" t="n">
        <f aca="false">(F31-I31)*(1-情景参数!F2)</f>
        <v>5330.59</v>
      </c>
      <c r="K31" s="4" t="n">
        <f aca="false">偿债原表!F12</f>
        <v>9600</v>
      </c>
      <c r="L31" s="4" t="n">
        <f aca="false">偿债原表!G12</f>
        <v>1018.8</v>
      </c>
      <c r="M31" s="4" t="n">
        <f aca="false">K31+L31</f>
        <v>10618.8</v>
      </c>
      <c r="N31" s="4" t="n">
        <f aca="false">J31-M31</f>
        <v>-5288.21</v>
      </c>
      <c r="O31" s="4" t="n">
        <f aca="false">O30+N31</f>
        <v>-4449.54</v>
      </c>
      <c r="P31" s="4" t="n">
        <f aca="false">MAX(0,-(R30+N31))</f>
        <v>0</v>
      </c>
      <c r="Q31" s="4" t="n">
        <f aca="false">Q30+P31</f>
        <v>6617.21</v>
      </c>
      <c r="R31" s="4" t="n">
        <f aca="false">O31+Q31</f>
        <v>2167.67</v>
      </c>
    </row>
    <row r="32" customFormat="false" ht="15" hidden="false" customHeight="false" outlineLevel="0" collapsed="false">
      <c r="A32" s="2" t="s">
        <v>38</v>
      </c>
      <c r="B32" s="2" t="s">
        <v>40</v>
      </c>
      <c r="C32" s="12" t="n">
        <v>11</v>
      </c>
      <c r="D32" s="12" t="n">
        <v>2034</v>
      </c>
      <c r="E32" s="4" t="n">
        <f aca="false">INDEX(驱动复算!A12:X12,1,情景参数!B2)</f>
        <v>14781.69</v>
      </c>
      <c r="F32" s="4" t="n">
        <f aca="false">E32*(1-情景参数!D2)</f>
        <v>14781.69</v>
      </c>
      <c r="G32" s="4" t="n">
        <f aca="false">IF(情景参数!E2="原表",驱动复算!U12-驱动复算!W12,驱动复算!P12)</f>
        <v>8782.26</v>
      </c>
      <c r="H32" s="4" t="n">
        <f aca="false">IF(情景参数!E2="原表",驱动复算!W12,F32*情景参数!C2)</f>
        <v>295.63</v>
      </c>
      <c r="I32" s="4" t="n">
        <f aca="false">IF(情景参数!E2="原表",驱动复算!U12,G32+H32)</f>
        <v>9077.89</v>
      </c>
      <c r="J32" s="4" t="n">
        <f aca="false">(F32-I32)*(1-情景参数!F2)</f>
        <v>5703.8</v>
      </c>
      <c r="K32" s="4" t="n">
        <f aca="false">偿债原表!F13</f>
        <v>0</v>
      </c>
      <c r="L32" s="4" t="n">
        <f aca="false">偿债原表!G13</f>
        <v>673.2</v>
      </c>
      <c r="M32" s="4" t="n">
        <f aca="false">K32+L32</f>
        <v>673.2</v>
      </c>
      <c r="N32" s="4" t="n">
        <f aca="false">J32-M32</f>
        <v>5030.6</v>
      </c>
      <c r="O32" s="4" t="n">
        <f aca="false">O31+N32</f>
        <v>581.060000000005</v>
      </c>
      <c r="P32" s="4" t="n">
        <f aca="false">MAX(0,-(R31+N32))</f>
        <v>0</v>
      </c>
      <c r="Q32" s="4" t="n">
        <f aca="false">Q31+P32</f>
        <v>6617.21</v>
      </c>
      <c r="R32" s="4" t="n">
        <f aca="false">O32+Q32</f>
        <v>7198.27</v>
      </c>
    </row>
    <row r="33" customFormat="false" ht="15" hidden="false" customHeight="false" outlineLevel="0" collapsed="false">
      <c r="A33" s="2" t="s">
        <v>38</v>
      </c>
      <c r="B33" s="2" t="s">
        <v>40</v>
      </c>
      <c r="C33" s="12" t="n">
        <v>12</v>
      </c>
      <c r="D33" s="12" t="n">
        <v>2035</v>
      </c>
      <c r="E33" s="4" t="n">
        <f aca="false">INDEX(驱动复算!A13:X13,1,情景参数!B2)</f>
        <v>15455.6</v>
      </c>
      <c r="F33" s="4" t="n">
        <f aca="false">E33*(1-情景参数!D2)</f>
        <v>15455.6</v>
      </c>
      <c r="G33" s="4" t="n">
        <f aca="false">IF(情景参数!E2="原表",驱动复算!U13-驱动复算!W13,驱动复算!P13)</f>
        <v>9045.74</v>
      </c>
      <c r="H33" s="4" t="n">
        <f aca="false">IF(情景参数!E2="原表",驱动复算!W13,F33*情景参数!C2)</f>
        <v>309.11</v>
      </c>
      <c r="I33" s="4" t="n">
        <f aca="false">IF(情景参数!E2="原表",驱动复算!U13,G33+H33)</f>
        <v>9354.85</v>
      </c>
      <c r="J33" s="4" t="n">
        <f aca="false">(F33-I33)*(1-情景参数!F2)</f>
        <v>6100.75</v>
      </c>
      <c r="K33" s="4" t="n">
        <f aca="false">偿债原表!F14</f>
        <v>0</v>
      </c>
      <c r="L33" s="4" t="n">
        <f aca="false">偿债原表!G14</f>
        <v>673.2</v>
      </c>
      <c r="M33" s="4" t="n">
        <f aca="false">K33+L33</f>
        <v>673.2</v>
      </c>
      <c r="N33" s="4" t="n">
        <f aca="false">J33-M33</f>
        <v>5427.55</v>
      </c>
      <c r="O33" s="4" t="n">
        <f aca="false">O32+N33</f>
        <v>6008.61000000001</v>
      </c>
      <c r="P33" s="4" t="n">
        <f aca="false">MAX(0,-(R32+N33))</f>
        <v>0</v>
      </c>
      <c r="Q33" s="4" t="n">
        <f aca="false">Q32+P33</f>
        <v>6617.21</v>
      </c>
      <c r="R33" s="4" t="n">
        <f aca="false">O33+Q33</f>
        <v>12625.82</v>
      </c>
    </row>
    <row r="34" customFormat="false" ht="15" hidden="false" customHeight="false" outlineLevel="0" collapsed="false">
      <c r="A34" s="2" t="s">
        <v>38</v>
      </c>
      <c r="B34" s="2" t="s">
        <v>40</v>
      </c>
      <c r="C34" s="12" t="n">
        <v>13</v>
      </c>
      <c r="D34" s="12" t="n">
        <v>2036</v>
      </c>
      <c r="E34" s="4" t="n">
        <f aca="false">INDEX(驱动复算!A14:X14,1,情景参数!B2)</f>
        <v>16163.21</v>
      </c>
      <c r="F34" s="4" t="n">
        <f aca="false">E34*(1-情景参数!D2)</f>
        <v>16163.21</v>
      </c>
      <c r="G34" s="4" t="n">
        <f aca="false">IF(情景参数!E2="原表",驱动复算!U14-驱动复算!W14,驱动复算!P14)</f>
        <v>9317.11</v>
      </c>
      <c r="H34" s="4" t="n">
        <f aca="false">IF(情景参数!E2="原表",驱动复算!W14,F34*情景参数!C2)</f>
        <v>323.26</v>
      </c>
      <c r="I34" s="4" t="n">
        <f aca="false">IF(情景参数!E2="原表",驱动复算!U14,G34+H34)</f>
        <v>9640.37</v>
      </c>
      <c r="J34" s="4" t="n">
        <f aca="false">(F34-I34)*(1-情景参数!F2)</f>
        <v>6522.84</v>
      </c>
      <c r="K34" s="4" t="n">
        <f aca="false">偿债原表!F15</f>
        <v>0</v>
      </c>
      <c r="L34" s="4" t="n">
        <f aca="false">偿债原表!G15</f>
        <v>673.2</v>
      </c>
      <c r="M34" s="4" t="n">
        <f aca="false">K34+L34</f>
        <v>673.2</v>
      </c>
      <c r="N34" s="4" t="n">
        <f aca="false">J34-M34</f>
        <v>5849.64</v>
      </c>
      <c r="O34" s="4" t="n">
        <f aca="false">O33+N34</f>
        <v>11858.25</v>
      </c>
      <c r="P34" s="4" t="n">
        <f aca="false">MAX(0,-(R33+N34))</f>
        <v>0</v>
      </c>
      <c r="Q34" s="4" t="n">
        <f aca="false">Q33+P34</f>
        <v>6617.21</v>
      </c>
      <c r="R34" s="4" t="n">
        <f aca="false">O34+Q34</f>
        <v>18475.46</v>
      </c>
    </row>
    <row r="35" customFormat="false" ht="15" hidden="false" customHeight="false" outlineLevel="0" collapsed="false">
      <c r="A35" s="2" t="s">
        <v>38</v>
      </c>
      <c r="B35" s="2" t="s">
        <v>40</v>
      </c>
      <c r="C35" s="12" t="n">
        <v>14</v>
      </c>
      <c r="D35" s="12" t="n">
        <v>2037</v>
      </c>
      <c r="E35" s="4" t="n">
        <f aca="false">INDEX(驱动复算!A15:X15,1,情景参数!B2)</f>
        <v>16906.2</v>
      </c>
      <c r="F35" s="4" t="n">
        <f aca="false">E35*(1-情景参数!D2)</f>
        <v>16906.2</v>
      </c>
      <c r="G35" s="4" t="n">
        <f aca="false">IF(情景参数!E2="原表",驱动复算!U15-驱动复算!W15,驱动复算!P15)</f>
        <v>9596.62</v>
      </c>
      <c r="H35" s="4" t="n">
        <f aca="false">IF(情景参数!E2="原表",驱动复算!W15,F35*情景参数!C2)</f>
        <v>329.21</v>
      </c>
      <c r="I35" s="4" t="n">
        <f aca="false">IF(情景参数!E2="原表",驱动复算!U15,G35+H35)</f>
        <v>9925.83</v>
      </c>
      <c r="J35" s="4" t="n">
        <f aca="false">(F35-I35)*(1-情景参数!F2)</f>
        <v>6980.37</v>
      </c>
      <c r="K35" s="4" t="n">
        <f aca="false">偿债原表!F16</f>
        <v>1000</v>
      </c>
      <c r="L35" s="4" t="n">
        <f aca="false">偿债原表!G16</f>
        <v>673.2</v>
      </c>
      <c r="M35" s="4" t="n">
        <f aca="false">K35+L35</f>
        <v>1673.2</v>
      </c>
      <c r="N35" s="4" t="n">
        <f aca="false">J35-M35</f>
        <v>5307.17</v>
      </c>
      <c r="O35" s="4" t="n">
        <f aca="false">O34+N35</f>
        <v>17165.42</v>
      </c>
      <c r="P35" s="4" t="n">
        <f aca="false">MAX(0,-(R34+N35))</f>
        <v>0</v>
      </c>
      <c r="Q35" s="4" t="n">
        <f aca="false">Q34+P35</f>
        <v>6617.21</v>
      </c>
      <c r="R35" s="4" t="n">
        <f aca="false">O35+Q35</f>
        <v>23782.63</v>
      </c>
    </row>
    <row r="36" customFormat="false" ht="15" hidden="false" customHeight="false" outlineLevel="0" collapsed="false">
      <c r="A36" s="2" t="s">
        <v>38</v>
      </c>
      <c r="B36" s="2" t="s">
        <v>40</v>
      </c>
      <c r="C36" s="12" t="n">
        <v>15</v>
      </c>
      <c r="D36" s="12" t="n">
        <v>2038</v>
      </c>
      <c r="E36" s="4" t="n">
        <f aca="false">INDEX(驱动复算!A16:X16,1,情景参数!B2)</f>
        <v>17546.68</v>
      </c>
      <c r="F36" s="4" t="n">
        <f aca="false">E36*(1-情景参数!D2)</f>
        <v>17546.68</v>
      </c>
      <c r="G36" s="4" t="n">
        <f aca="false">IF(情景参数!E2="原表",驱动复算!U16-驱动复算!W16,驱动复算!P16)</f>
        <v>9884.51</v>
      </c>
      <c r="H36" s="4" t="n">
        <f aca="false">IF(情景参数!E2="原表",驱动复算!W16,F36*情景参数!C2)</f>
        <v>341.84</v>
      </c>
      <c r="I36" s="4" t="n">
        <f aca="false">IF(情景参数!E2="原表",驱动复算!U16,G36+H36)</f>
        <v>10226.35</v>
      </c>
      <c r="J36" s="4" t="n">
        <f aca="false">(F36-I36)*(1-情景参数!F2)</f>
        <v>7320.33</v>
      </c>
      <c r="K36" s="4" t="n">
        <f aca="false">偿债原表!F17</f>
        <v>0</v>
      </c>
      <c r="L36" s="4" t="n">
        <f aca="false">偿债原表!G17</f>
        <v>644</v>
      </c>
      <c r="M36" s="4" t="n">
        <f aca="false">K36+L36</f>
        <v>644</v>
      </c>
      <c r="N36" s="4" t="n">
        <f aca="false">J36-M36</f>
        <v>6676.33</v>
      </c>
      <c r="O36" s="4" t="n">
        <f aca="false">O35+N36</f>
        <v>23841.75</v>
      </c>
      <c r="P36" s="4" t="n">
        <f aca="false">MAX(0,-(R35+N36))</f>
        <v>0</v>
      </c>
      <c r="Q36" s="4" t="n">
        <f aca="false">Q35+P36</f>
        <v>6617.21</v>
      </c>
      <c r="R36" s="4" t="n">
        <f aca="false">O36+Q36</f>
        <v>30458.96</v>
      </c>
    </row>
    <row r="37" customFormat="false" ht="15" hidden="false" customHeight="false" outlineLevel="0" collapsed="false">
      <c r="A37" s="2" t="s">
        <v>38</v>
      </c>
      <c r="B37" s="2" t="s">
        <v>40</v>
      </c>
      <c r="C37" s="12" t="n">
        <v>16</v>
      </c>
      <c r="D37" s="12" t="n">
        <v>2039</v>
      </c>
      <c r="E37" s="4" t="n">
        <f aca="false">INDEX(驱动复算!A17:X17,1,情景参数!B2)</f>
        <v>17864.98</v>
      </c>
      <c r="F37" s="4" t="n">
        <f aca="false">E37*(1-情景参数!D2)</f>
        <v>17864.98</v>
      </c>
      <c r="G37" s="4" t="n">
        <f aca="false">IF(情景参数!E2="原表",驱动复算!U17-驱动复算!W17,驱动复算!P17)</f>
        <v>10181.04</v>
      </c>
      <c r="H37" s="4" t="n">
        <f aca="false">IF(情景参数!E2="原表",驱动复算!W17,F37*情景参数!C2)</f>
        <v>348.02</v>
      </c>
      <c r="I37" s="4" t="n">
        <f aca="false">IF(情景参数!E2="原表",驱动复算!U17,G37+H37)</f>
        <v>10529.06</v>
      </c>
      <c r="J37" s="4" t="n">
        <f aca="false">(F37-I37)*(1-情景参数!F2)</f>
        <v>7335.92</v>
      </c>
      <c r="K37" s="4" t="n">
        <f aca="false">偿债原表!F18</f>
        <v>0</v>
      </c>
      <c r="L37" s="4" t="n">
        <f aca="false">偿债原表!G18</f>
        <v>644</v>
      </c>
      <c r="M37" s="4" t="n">
        <f aca="false">K37+L37</f>
        <v>644</v>
      </c>
      <c r="N37" s="4" t="n">
        <f aca="false">J37-M37</f>
        <v>6691.92</v>
      </c>
      <c r="O37" s="4" t="n">
        <f aca="false">O36+N37</f>
        <v>30533.67</v>
      </c>
      <c r="P37" s="4" t="n">
        <f aca="false">MAX(0,-(R36+N37))</f>
        <v>0</v>
      </c>
      <c r="Q37" s="4" t="n">
        <f aca="false">Q36+P37</f>
        <v>6617.21</v>
      </c>
      <c r="R37" s="4" t="n">
        <f aca="false">O37+Q37</f>
        <v>37150.88</v>
      </c>
    </row>
    <row r="38" customFormat="false" ht="15" hidden="false" customHeight="false" outlineLevel="0" collapsed="false">
      <c r="A38" s="2" t="s">
        <v>38</v>
      </c>
      <c r="B38" s="2" t="s">
        <v>40</v>
      </c>
      <c r="C38" s="12" t="n">
        <v>17</v>
      </c>
      <c r="D38" s="12" t="n">
        <v>2040</v>
      </c>
      <c r="E38" s="4" t="n">
        <f aca="false">INDEX(驱动复算!A18:X18,1,情景参数!B2)</f>
        <v>18189.64</v>
      </c>
      <c r="F38" s="4" t="n">
        <f aca="false">E38*(1-情景参数!D2)</f>
        <v>18189.64</v>
      </c>
      <c r="G38" s="4" t="n">
        <f aca="false">IF(情景参数!E2="原表",驱动复算!U18-驱动复算!W18,驱动复算!P18)</f>
        <v>10486.47</v>
      </c>
      <c r="H38" s="4" t="n">
        <f aca="false">IF(情景参数!E2="原表",驱动复算!W18,F38*情景参数!C2)</f>
        <v>354.33</v>
      </c>
      <c r="I38" s="4" t="n">
        <f aca="false">IF(情景参数!E2="原表",驱动复算!U18,G38+H38)</f>
        <v>10840.8</v>
      </c>
      <c r="J38" s="4" t="n">
        <f aca="false">(F38-I38)*(1-情景参数!F2)</f>
        <v>7348.84</v>
      </c>
      <c r="K38" s="4" t="n">
        <f aca="false">偿债原表!F19</f>
        <v>0</v>
      </c>
      <c r="L38" s="4" t="n">
        <f aca="false">偿债原表!G19</f>
        <v>644</v>
      </c>
      <c r="M38" s="4" t="n">
        <f aca="false">K38+L38</f>
        <v>644</v>
      </c>
      <c r="N38" s="4" t="n">
        <f aca="false">J38-M38</f>
        <v>6704.84</v>
      </c>
      <c r="O38" s="4" t="n">
        <f aca="false">O37+N38</f>
        <v>37238.51</v>
      </c>
      <c r="P38" s="4" t="n">
        <f aca="false">MAX(0,-(R37+N38))</f>
        <v>0</v>
      </c>
      <c r="Q38" s="4" t="n">
        <f aca="false">Q37+P38</f>
        <v>6617.21</v>
      </c>
      <c r="R38" s="4" t="n">
        <f aca="false">O38+Q38</f>
        <v>43855.72</v>
      </c>
    </row>
    <row r="39" customFormat="false" ht="15" hidden="false" customHeight="false" outlineLevel="0" collapsed="false">
      <c r="A39" s="2" t="s">
        <v>38</v>
      </c>
      <c r="B39" s="2" t="s">
        <v>40</v>
      </c>
      <c r="C39" s="12" t="n">
        <v>18</v>
      </c>
      <c r="D39" s="12" t="n">
        <v>2041</v>
      </c>
      <c r="E39" s="4" t="n">
        <f aca="false">INDEX(驱动复算!A19:X19,1,情景参数!B2)</f>
        <v>18520.8</v>
      </c>
      <c r="F39" s="4" t="n">
        <f aca="false">E39*(1-情景参数!D2)</f>
        <v>18520.8</v>
      </c>
      <c r="G39" s="4" t="n">
        <f aca="false">IF(情景参数!E2="原表",驱动复算!U19-驱动复算!W19,驱动复算!P19)</f>
        <v>10801.07</v>
      </c>
      <c r="H39" s="4" t="n">
        <f aca="false">IF(情景参数!E2="原表",驱动复算!W19,F39*情景参数!C2)</f>
        <v>360.77</v>
      </c>
      <c r="I39" s="4" t="n">
        <f aca="false">IF(情景参数!E2="原表",驱动复算!U19,G39+H39)</f>
        <v>11161.84</v>
      </c>
      <c r="J39" s="4" t="n">
        <f aca="false">(F39-I39)*(1-情景参数!F2)</f>
        <v>7358.96</v>
      </c>
      <c r="K39" s="4" t="n">
        <f aca="false">偿债原表!F20</f>
        <v>20000</v>
      </c>
      <c r="L39" s="4" t="n">
        <f aca="false">偿债原表!G20</f>
        <v>644</v>
      </c>
      <c r="M39" s="4" t="n">
        <f aca="false">K39+L39</f>
        <v>20644</v>
      </c>
      <c r="N39" s="4" t="n">
        <f aca="false">J39-M39</f>
        <v>-13285.04</v>
      </c>
      <c r="O39" s="4" t="n">
        <f aca="false">O38+N39</f>
        <v>23953.47</v>
      </c>
      <c r="P39" s="4" t="n">
        <f aca="false">MAX(0,-(R38+N39))</f>
        <v>0</v>
      </c>
      <c r="Q39" s="4" t="n">
        <f aca="false">Q38+P39</f>
        <v>6617.21</v>
      </c>
      <c r="R39" s="4" t="n">
        <f aca="false">O39+Q39</f>
        <v>30570.68</v>
      </c>
    </row>
    <row r="40" customFormat="false" ht="15" hidden="false" customHeight="false" outlineLevel="0" collapsed="false">
      <c r="A40" s="2" t="s">
        <v>41</v>
      </c>
      <c r="B40" s="2" t="s">
        <v>39</v>
      </c>
      <c r="C40" s="12" t="n">
        <v>0</v>
      </c>
      <c r="D40" s="13" t="s">
        <v>248</v>
      </c>
      <c r="E40" s="4" t="n">
        <f aca="false">0</f>
        <v>0</v>
      </c>
      <c r="F40" s="4" t="n">
        <f aca="false">E40*(1-情景参数!D3)</f>
        <v>0</v>
      </c>
      <c r="G40" s="4" t="n">
        <f aca="false">0</f>
        <v>0</v>
      </c>
      <c r="H40" s="4" t="n">
        <f aca="false">0</f>
        <v>0</v>
      </c>
      <c r="I40" s="4" t="n">
        <f aca="false">0</f>
        <v>0</v>
      </c>
      <c r="J40" s="4" t="n">
        <f aca="false">(F40-I40)*(1-情景参数!F3)</f>
        <v>0</v>
      </c>
      <c r="K40" s="4" t="n">
        <f aca="false">偿债原表!C2</f>
        <v>0</v>
      </c>
      <c r="L40" s="4" t="n">
        <f aca="false">偿债原表!D2</f>
        <v>1374.2</v>
      </c>
      <c r="M40" s="4" t="n">
        <f aca="false">K40+L40</f>
        <v>1374.2</v>
      </c>
      <c r="N40" s="4" t="n">
        <f aca="false">J40-M40</f>
        <v>-1374.2</v>
      </c>
      <c r="O40" s="4" t="n">
        <f aca="false">N40</f>
        <v>-1374.2</v>
      </c>
      <c r="P40" s="4" t="n">
        <f aca="false">MAX(0,-N40)</f>
        <v>1374.2</v>
      </c>
      <c r="Q40" s="4" t="n">
        <f aca="false">P40</f>
        <v>1374.2</v>
      </c>
      <c r="R40" s="4" t="n">
        <f aca="false">O40+Q40</f>
        <v>0</v>
      </c>
    </row>
    <row r="41" customFormat="false" ht="15" hidden="false" customHeight="false" outlineLevel="0" collapsed="false">
      <c r="A41" s="2" t="s">
        <v>41</v>
      </c>
      <c r="B41" s="2" t="s">
        <v>39</v>
      </c>
      <c r="C41" s="12" t="n">
        <v>1</v>
      </c>
      <c r="D41" s="12" t="n">
        <v>2024</v>
      </c>
      <c r="E41" s="4" t="n">
        <f aca="false">INDEX(驱动复算!A2:X2,1,情景参数!B3)</f>
        <v>0</v>
      </c>
      <c r="F41" s="4" t="n">
        <f aca="false">E41*(1-情景参数!D3)</f>
        <v>0</v>
      </c>
      <c r="G41" s="4" t="n">
        <f aca="false">IF(情景参数!E3="原表",驱动复算!U2-驱动复算!W2,驱动复算!P2)</f>
        <v>0</v>
      </c>
      <c r="H41" s="4" t="n">
        <f aca="false">IF(情景参数!E3="原表",驱动复算!W2,F41*情景参数!C3)</f>
        <v>0</v>
      </c>
      <c r="I41" s="4" t="n">
        <f aca="false">IF(情景参数!E3="原表",驱动复算!U2,G41+H41)</f>
        <v>0</v>
      </c>
      <c r="J41" s="4" t="n">
        <f aca="false">(F41-I41)*(1-情景参数!F3)</f>
        <v>0</v>
      </c>
      <c r="K41" s="4" t="n">
        <f aca="false">偿债原表!C3</f>
        <v>0</v>
      </c>
      <c r="L41" s="4" t="n">
        <f aca="false">偿债原表!D3</f>
        <v>1093.2</v>
      </c>
      <c r="M41" s="4" t="n">
        <f aca="false">K41+L41</f>
        <v>1093.2</v>
      </c>
      <c r="N41" s="4" t="n">
        <f aca="false">J41-M41</f>
        <v>-1093.2</v>
      </c>
      <c r="O41" s="4" t="n">
        <f aca="false">O40+N41</f>
        <v>-2467.4</v>
      </c>
      <c r="P41" s="4" t="n">
        <f aca="false">MAX(0,-(R40+N41))</f>
        <v>1093.2</v>
      </c>
      <c r="Q41" s="4" t="n">
        <f aca="false">Q40+P41</f>
        <v>2467.4</v>
      </c>
      <c r="R41" s="4" t="n">
        <f aca="false">O41+Q41</f>
        <v>0</v>
      </c>
    </row>
    <row r="42" customFormat="false" ht="15" hidden="false" customHeight="false" outlineLevel="0" collapsed="false">
      <c r="A42" s="2" t="s">
        <v>41</v>
      </c>
      <c r="B42" s="2" t="s">
        <v>39</v>
      </c>
      <c r="C42" s="12" t="n">
        <v>2</v>
      </c>
      <c r="D42" s="12" t="n">
        <v>2025</v>
      </c>
      <c r="E42" s="4" t="n">
        <f aca="false">INDEX(驱动复算!A3:X3,1,情景参数!B3)</f>
        <v>0</v>
      </c>
      <c r="F42" s="4" t="n">
        <f aca="false">E42*(1-情景参数!D3)</f>
        <v>0</v>
      </c>
      <c r="G42" s="4" t="n">
        <f aca="false">IF(情景参数!E3="原表",驱动复算!U3-驱动复算!W3,驱动复算!P3)</f>
        <v>0</v>
      </c>
      <c r="H42" s="4" t="n">
        <f aca="false">IF(情景参数!E3="原表",驱动复算!W3,F42*情景参数!C3)</f>
        <v>0</v>
      </c>
      <c r="I42" s="4" t="n">
        <f aca="false">IF(情景参数!E3="原表",驱动复算!U3,G42+H42)</f>
        <v>0</v>
      </c>
      <c r="J42" s="4" t="n">
        <f aca="false">(F42-I42)*(1-情景参数!F3)</f>
        <v>0</v>
      </c>
      <c r="K42" s="4" t="n">
        <f aca="false">偿债原表!C4</f>
        <v>0</v>
      </c>
      <c r="L42" s="4" t="n">
        <f aca="false">偿债原表!D4</f>
        <v>1093.2</v>
      </c>
      <c r="M42" s="4" t="n">
        <f aca="false">K42+L42</f>
        <v>1093.2</v>
      </c>
      <c r="N42" s="4" t="n">
        <f aca="false">J42-M42</f>
        <v>-1093.2</v>
      </c>
      <c r="O42" s="4" t="n">
        <f aca="false">O41+N42</f>
        <v>-3560.6</v>
      </c>
      <c r="P42" s="4" t="n">
        <f aca="false">MAX(0,-(R41+N42))</f>
        <v>1093.2</v>
      </c>
      <c r="Q42" s="4" t="n">
        <f aca="false">Q41+P42</f>
        <v>3560.6</v>
      </c>
      <c r="R42" s="4" t="n">
        <f aca="false">O42+Q42</f>
        <v>0</v>
      </c>
    </row>
    <row r="43" customFormat="false" ht="15" hidden="false" customHeight="false" outlineLevel="0" collapsed="false">
      <c r="A43" s="2" t="s">
        <v>41</v>
      </c>
      <c r="B43" s="2" t="s">
        <v>39</v>
      </c>
      <c r="C43" s="12" t="n">
        <v>3</v>
      </c>
      <c r="D43" s="12" t="n">
        <v>2026</v>
      </c>
      <c r="E43" s="4" t="n">
        <f aca="false">INDEX(驱动复算!A4:X4,1,情景参数!B3)</f>
        <v>0</v>
      </c>
      <c r="F43" s="4" t="n">
        <f aca="false">E43*(1-情景参数!D3)</f>
        <v>0</v>
      </c>
      <c r="G43" s="4" t="n">
        <f aca="false">IF(情景参数!E3="原表",驱动复算!U4-驱动复算!W4,驱动复算!P4)</f>
        <v>0</v>
      </c>
      <c r="H43" s="4" t="n">
        <f aca="false">IF(情景参数!E3="原表",驱动复算!W4,F43*情景参数!C3)</f>
        <v>0</v>
      </c>
      <c r="I43" s="4" t="n">
        <f aca="false">IF(情景参数!E3="原表",驱动复算!U4,G43+H43)</f>
        <v>0</v>
      </c>
      <c r="J43" s="4" t="n">
        <f aca="false">(F43-I43)*(1-情景参数!F3)</f>
        <v>0</v>
      </c>
      <c r="K43" s="4" t="n">
        <f aca="false">偿债原表!C5</f>
        <v>0</v>
      </c>
      <c r="L43" s="4" t="n">
        <f aca="false">偿债原表!D5</f>
        <v>1093.2</v>
      </c>
      <c r="M43" s="4" t="n">
        <f aca="false">K43+L43</f>
        <v>1093.2</v>
      </c>
      <c r="N43" s="4" t="n">
        <f aca="false">J43-M43</f>
        <v>-1093.2</v>
      </c>
      <c r="O43" s="4" t="n">
        <f aca="false">O42+N43</f>
        <v>-4653.8</v>
      </c>
      <c r="P43" s="4" t="n">
        <f aca="false">MAX(0,-(R42+N43))</f>
        <v>1093.2</v>
      </c>
      <c r="Q43" s="4" t="n">
        <f aca="false">Q42+P43</f>
        <v>4653.8</v>
      </c>
      <c r="R43" s="4" t="n">
        <f aca="false">O43+Q43</f>
        <v>0</v>
      </c>
    </row>
    <row r="44" customFormat="false" ht="15" hidden="false" customHeight="false" outlineLevel="0" collapsed="false">
      <c r="A44" s="2" t="s">
        <v>41</v>
      </c>
      <c r="B44" s="2" t="s">
        <v>39</v>
      </c>
      <c r="C44" s="12" t="n">
        <v>4</v>
      </c>
      <c r="D44" s="12" t="n">
        <v>2027</v>
      </c>
      <c r="E44" s="4" t="n">
        <f aca="false">INDEX(驱动复算!A5:X5,1,情景参数!B3)</f>
        <v>0</v>
      </c>
      <c r="F44" s="4" t="n">
        <f aca="false">E44*(1-情景参数!D3)</f>
        <v>0</v>
      </c>
      <c r="G44" s="4" t="n">
        <f aca="false">IF(情景参数!E3="原表",驱动复算!U5-驱动复算!W5,驱动复算!P5)</f>
        <v>0</v>
      </c>
      <c r="H44" s="4" t="n">
        <f aca="false">IF(情景参数!E3="原表",驱动复算!W5,F44*情景参数!C3)</f>
        <v>0</v>
      </c>
      <c r="I44" s="4" t="n">
        <f aca="false">IF(情景参数!E3="原表",驱动复算!U5,G44+H44)</f>
        <v>0</v>
      </c>
      <c r="J44" s="4" t="n">
        <f aca="false">(F44-I44)*(1-情景参数!F3)</f>
        <v>0</v>
      </c>
      <c r="K44" s="4" t="n">
        <f aca="false">偿债原表!C6</f>
        <v>0</v>
      </c>
      <c r="L44" s="4" t="n">
        <f aca="false">偿债原表!D6</f>
        <v>1093.2</v>
      </c>
      <c r="M44" s="4" t="n">
        <f aca="false">K44+L44</f>
        <v>1093.2</v>
      </c>
      <c r="N44" s="4" t="n">
        <f aca="false">J44-M44</f>
        <v>-1093.2</v>
      </c>
      <c r="O44" s="4" t="n">
        <f aca="false">O43+N44</f>
        <v>-5747</v>
      </c>
      <c r="P44" s="4" t="n">
        <f aca="false">MAX(0,-(R43+N44))</f>
        <v>1093.2</v>
      </c>
      <c r="Q44" s="4" t="n">
        <f aca="false">Q43+P44</f>
        <v>5747</v>
      </c>
      <c r="R44" s="4" t="n">
        <f aca="false">O44+Q44</f>
        <v>0</v>
      </c>
    </row>
    <row r="45" customFormat="false" ht="15" hidden="false" customHeight="false" outlineLevel="0" collapsed="false">
      <c r="A45" s="2" t="s">
        <v>41</v>
      </c>
      <c r="B45" s="2" t="s">
        <v>39</v>
      </c>
      <c r="C45" s="12" t="n">
        <v>5</v>
      </c>
      <c r="D45" s="12" t="n">
        <v>2028</v>
      </c>
      <c r="E45" s="4" t="n">
        <f aca="false">INDEX(驱动复算!A6:X6,1,情景参数!B3)</f>
        <v>9234.58</v>
      </c>
      <c r="F45" s="4" t="n">
        <f aca="false">E45*(1-情景参数!D3)</f>
        <v>9234.58</v>
      </c>
      <c r="G45" s="4" t="n">
        <f aca="false">IF(情景参数!E3="原表",驱动复算!U6-驱动复算!W6,驱动复算!P6)</f>
        <v>7355</v>
      </c>
      <c r="H45" s="4" t="n">
        <f aca="false">IF(情景参数!E3="原表",驱动复算!W6,F45*情景参数!C3)</f>
        <v>184.6916</v>
      </c>
      <c r="I45" s="4" t="n">
        <f aca="false">IF(情景参数!E3="原表",驱动复算!U6,G45+H45)</f>
        <v>7539.6916</v>
      </c>
      <c r="J45" s="4" t="n">
        <f aca="false">(F45-I45)*(1-情景参数!F3)</f>
        <v>1694.8884</v>
      </c>
      <c r="K45" s="4" t="n">
        <f aca="false">偿债原表!C7</f>
        <v>11000</v>
      </c>
      <c r="L45" s="4" t="n">
        <f aca="false">偿债原表!D7</f>
        <v>1093.2</v>
      </c>
      <c r="M45" s="4" t="n">
        <f aca="false">K45+L45</f>
        <v>12093.2</v>
      </c>
      <c r="N45" s="4" t="n">
        <f aca="false">J45-M45</f>
        <v>-10398.3116</v>
      </c>
      <c r="O45" s="4" t="n">
        <f aca="false">O44+N45</f>
        <v>-16145.3116</v>
      </c>
      <c r="P45" s="4" t="n">
        <f aca="false">MAX(0,-(R44+N45))</f>
        <v>10398.3116</v>
      </c>
      <c r="Q45" s="4" t="n">
        <f aca="false">Q44+P45</f>
        <v>16145.3116</v>
      </c>
      <c r="R45" s="4" t="n">
        <f aca="false">O45+Q45</f>
        <v>0</v>
      </c>
    </row>
    <row r="46" customFormat="false" ht="15" hidden="false" customHeight="false" outlineLevel="0" collapsed="false">
      <c r="A46" s="2" t="s">
        <v>41</v>
      </c>
      <c r="B46" s="2" t="s">
        <v>39</v>
      </c>
      <c r="C46" s="12" t="n">
        <v>6</v>
      </c>
      <c r="D46" s="12" t="n">
        <v>2029</v>
      </c>
      <c r="E46" s="4" t="n">
        <f aca="false">INDEX(驱动复算!A7:X7,1,情景参数!B3)</f>
        <v>10123.19</v>
      </c>
      <c r="F46" s="4" t="n">
        <f aca="false">E46*(1-情景参数!D3)</f>
        <v>10123.19</v>
      </c>
      <c r="G46" s="4" t="n">
        <f aca="false">IF(情景参数!E3="原表",驱动复算!U7-驱动复算!W7,驱动复算!P7)</f>
        <v>7575.65</v>
      </c>
      <c r="H46" s="4" t="n">
        <f aca="false">IF(情景参数!E3="原表",驱动复算!W7,F46*情景参数!C3)</f>
        <v>202.4638</v>
      </c>
      <c r="I46" s="4" t="n">
        <f aca="false">IF(情景参数!E3="原表",驱动复算!U7,G46+H46)</f>
        <v>7778.1138</v>
      </c>
      <c r="J46" s="4" t="n">
        <f aca="false">(F46-I46)*(1-情景参数!F3)</f>
        <v>2345.0762</v>
      </c>
      <c r="K46" s="4" t="n">
        <f aca="false">偿债原表!C8</f>
        <v>0</v>
      </c>
      <c r="L46" s="4" t="n">
        <f aca="false">偿债原表!D8</f>
        <v>730.2</v>
      </c>
      <c r="M46" s="4" t="n">
        <f aca="false">K46+L46</f>
        <v>730.2</v>
      </c>
      <c r="N46" s="4" t="n">
        <f aca="false">J46-M46</f>
        <v>1614.8762</v>
      </c>
      <c r="O46" s="4" t="n">
        <f aca="false">O45+N46</f>
        <v>-14530.4354</v>
      </c>
      <c r="P46" s="4" t="n">
        <f aca="false">MAX(0,-(R45+N46))</f>
        <v>0</v>
      </c>
      <c r="Q46" s="4" t="n">
        <f aca="false">Q45+P46</f>
        <v>16145.3116</v>
      </c>
      <c r="R46" s="4" t="n">
        <f aca="false">O46+Q46</f>
        <v>1614.8762</v>
      </c>
    </row>
    <row r="47" customFormat="false" ht="15" hidden="false" customHeight="false" outlineLevel="0" collapsed="false">
      <c r="A47" s="2" t="s">
        <v>41</v>
      </c>
      <c r="B47" s="2" t="s">
        <v>39</v>
      </c>
      <c r="C47" s="12" t="n">
        <v>7</v>
      </c>
      <c r="D47" s="12" t="n">
        <v>2030</v>
      </c>
      <c r="E47" s="4" t="n">
        <f aca="false">INDEX(驱动复算!A8:X8,1,情景参数!B3)</f>
        <v>11041.69</v>
      </c>
      <c r="F47" s="4" t="n">
        <f aca="false">E47*(1-情景参数!D3)</f>
        <v>11041.69</v>
      </c>
      <c r="G47" s="4" t="n">
        <f aca="false">IF(情景参数!E3="原表",驱动复算!U8-驱动复算!W8,驱动复算!P8)</f>
        <v>7802.9195</v>
      </c>
      <c r="H47" s="4" t="n">
        <f aca="false">IF(情景参数!E3="原表",驱动复算!W8,F47*情景参数!C3)</f>
        <v>220.8338</v>
      </c>
      <c r="I47" s="4" t="n">
        <f aca="false">IF(情景参数!E3="原表",驱动复算!U8,G47+H47)</f>
        <v>8023.7533</v>
      </c>
      <c r="J47" s="4" t="n">
        <f aca="false">(F47-I47)*(1-情景参数!F3)</f>
        <v>3017.9367</v>
      </c>
      <c r="K47" s="4" t="n">
        <f aca="false">偿债原表!C9</f>
        <v>0</v>
      </c>
      <c r="L47" s="4" t="n">
        <f aca="false">偿债原表!D9</f>
        <v>730.2</v>
      </c>
      <c r="M47" s="4" t="n">
        <f aca="false">K47+L47</f>
        <v>730.2</v>
      </c>
      <c r="N47" s="4" t="n">
        <f aca="false">J47-M47</f>
        <v>2287.7367</v>
      </c>
      <c r="O47" s="4" t="n">
        <f aca="false">O46+N47</f>
        <v>-12242.6987</v>
      </c>
      <c r="P47" s="4" t="n">
        <f aca="false">MAX(0,-(R46+N47))</f>
        <v>0</v>
      </c>
      <c r="Q47" s="4" t="n">
        <f aca="false">Q46+P47</f>
        <v>16145.3116</v>
      </c>
      <c r="R47" s="4" t="n">
        <f aca="false">O47+Q47</f>
        <v>3902.6129</v>
      </c>
    </row>
    <row r="48" customFormat="false" ht="15" hidden="false" customHeight="false" outlineLevel="0" collapsed="false">
      <c r="A48" s="2" t="s">
        <v>41</v>
      </c>
      <c r="B48" s="2" t="s">
        <v>39</v>
      </c>
      <c r="C48" s="12" t="n">
        <v>8</v>
      </c>
      <c r="D48" s="12" t="n">
        <v>2031</v>
      </c>
      <c r="E48" s="4" t="n">
        <f aca="false">INDEX(驱动复算!A9:X9,1,情景参数!B3)</f>
        <v>12052.04</v>
      </c>
      <c r="F48" s="4" t="n">
        <f aca="false">E48*(1-情景参数!D3)</f>
        <v>12052.04</v>
      </c>
      <c r="G48" s="4" t="n">
        <f aca="false">IF(情景参数!E3="原表",驱动复算!U9-驱动复算!W9,驱动复算!P9)</f>
        <v>8037.007085</v>
      </c>
      <c r="H48" s="4" t="n">
        <f aca="false">IF(情景参数!E3="原表",驱动复算!W9,F48*情景参数!C3)</f>
        <v>241.0408</v>
      </c>
      <c r="I48" s="4" t="n">
        <f aca="false">IF(情景参数!E3="原表",驱动复算!U9,G48+H48)</f>
        <v>8278.047885</v>
      </c>
      <c r="J48" s="4" t="n">
        <f aca="false">(F48-I48)*(1-情景参数!F3)</f>
        <v>3773.992115</v>
      </c>
      <c r="K48" s="4" t="n">
        <f aca="false">偿债原表!C10</f>
        <v>0</v>
      </c>
      <c r="L48" s="4" t="n">
        <f aca="false">偿债原表!D10</f>
        <v>730.2</v>
      </c>
      <c r="M48" s="4" t="n">
        <f aca="false">K48+L48</f>
        <v>730.2</v>
      </c>
      <c r="N48" s="4" t="n">
        <f aca="false">J48-M48</f>
        <v>3043.792115</v>
      </c>
      <c r="O48" s="4" t="n">
        <f aca="false">O47+N48</f>
        <v>-9198.906585</v>
      </c>
      <c r="P48" s="4" t="n">
        <f aca="false">MAX(0,-(R47+N48))</f>
        <v>0</v>
      </c>
      <c r="Q48" s="4" t="n">
        <f aca="false">Q47+P48</f>
        <v>16145.3116</v>
      </c>
      <c r="R48" s="4" t="n">
        <f aca="false">O48+Q48</f>
        <v>6946.405015</v>
      </c>
    </row>
    <row r="49" customFormat="false" ht="15" hidden="false" customHeight="false" outlineLevel="0" collapsed="false">
      <c r="A49" s="2" t="s">
        <v>41</v>
      </c>
      <c r="B49" s="2" t="s">
        <v>39</v>
      </c>
      <c r="C49" s="12" t="n">
        <v>9</v>
      </c>
      <c r="D49" s="12" t="n">
        <v>2032</v>
      </c>
      <c r="E49" s="4" t="n">
        <f aca="false">INDEX(驱动复算!A10:X10,1,情景参数!B3)</f>
        <v>13163.43</v>
      </c>
      <c r="F49" s="4" t="n">
        <f aca="false">E49*(1-情景参数!D3)</f>
        <v>13163.43</v>
      </c>
      <c r="G49" s="4" t="n">
        <f aca="false">IF(情景参数!E3="原表",驱动复算!U10-驱动复算!W10,驱动复算!P10)</f>
        <v>8278.11729755</v>
      </c>
      <c r="H49" s="4" t="n">
        <f aca="false">IF(情景参数!E3="原表",驱动复算!W10,F49*情景参数!C3)</f>
        <v>263.2686</v>
      </c>
      <c r="I49" s="4" t="n">
        <f aca="false">IF(情景参数!E3="原表",驱动复算!U10,G49+H49)</f>
        <v>8541.38589755</v>
      </c>
      <c r="J49" s="4" t="n">
        <f aca="false">(F49-I49)*(1-情景参数!F3)</f>
        <v>4622.04410245</v>
      </c>
      <c r="K49" s="4" t="n">
        <f aca="false">偿债原表!C11</f>
        <v>2000</v>
      </c>
      <c r="L49" s="4" t="n">
        <f aca="false">偿债原表!D11</f>
        <v>730.2</v>
      </c>
      <c r="M49" s="4" t="n">
        <f aca="false">K49+L49</f>
        <v>2730.2</v>
      </c>
      <c r="N49" s="4" t="n">
        <f aca="false">J49-M49</f>
        <v>1891.84410245</v>
      </c>
      <c r="O49" s="4" t="n">
        <f aca="false">O48+N49</f>
        <v>-7307.06248255</v>
      </c>
      <c r="P49" s="4" t="n">
        <f aca="false">MAX(0,-(R48+N49))</f>
        <v>0</v>
      </c>
      <c r="Q49" s="4" t="n">
        <f aca="false">Q48+P49</f>
        <v>16145.3116</v>
      </c>
      <c r="R49" s="4" t="n">
        <f aca="false">O49+Q49</f>
        <v>8838.24911745</v>
      </c>
    </row>
    <row r="50" customFormat="false" ht="15" hidden="false" customHeight="false" outlineLevel="0" collapsed="false">
      <c r="A50" s="2" t="s">
        <v>41</v>
      </c>
      <c r="B50" s="2" t="s">
        <v>39</v>
      </c>
      <c r="C50" s="12" t="n">
        <v>10</v>
      </c>
      <c r="D50" s="12" t="n">
        <v>2033</v>
      </c>
      <c r="E50" s="4" t="n">
        <f aca="false">INDEX(驱动复算!A11:X11,1,情景参数!B3)</f>
        <v>14139.86</v>
      </c>
      <c r="F50" s="4" t="n">
        <f aca="false">E50*(1-情景参数!D3)</f>
        <v>14139.86</v>
      </c>
      <c r="G50" s="4" t="n">
        <f aca="false">IF(情景参数!E3="原表",驱动复算!U11-驱动复算!W11,驱动复算!P11)</f>
        <v>8526.4608164765</v>
      </c>
      <c r="H50" s="4" t="n">
        <f aca="false">IF(情景参数!E3="原表",驱动复算!W11,F50*情景参数!C3)</f>
        <v>282.7972</v>
      </c>
      <c r="I50" s="4" t="n">
        <f aca="false">IF(情景参数!E3="原表",驱动复算!U11,G50+H50)</f>
        <v>8809.2580164765</v>
      </c>
      <c r="J50" s="4" t="n">
        <f aca="false">(F50-I50)*(1-情景参数!F3)</f>
        <v>5330.6019835235</v>
      </c>
      <c r="K50" s="4" t="n">
        <f aca="false">偿债原表!C12</f>
        <v>0</v>
      </c>
      <c r="L50" s="4" t="n">
        <f aca="false">偿债原表!D12</f>
        <v>673.2</v>
      </c>
      <c r="M50" s="4" t="n">
        <f aca="false">K50+L50</f>
        <v>673.2</v>
      </c>
      <c r="N50" s="4" t="n">
        <f aca="false">J50-M50</f>
        <v>4657.4019835235</v>
      </c>
      <c r="O50" s="4" t="n">
        <f aca="false">O49+N50</f>
        <v>-2649.6604990265</v>
      </c>
      <c r="P50" s="4" t="n">
        <f aca="false">MAX(0,-(R49+N50))</f>
        <v>0</v>
      </c>
      <c r="Q50" s="4" t="n">
        <f aca="false">Q49+P50</f>
        <v>16145.3116</v>
      </c>
      <c r="R50" s="4" t="n">
        <f aca="false">O50+Q50</f>
        <v>13495.6511009735</v>
      </c>
    </row>
    <row r="51" customFormat="false" ht="15" hidden="false" customHeight="false" outlineLevel="0" collapsed="false">
      <c r="A51" s="2" t="s">
        <v>41</v>
      </c>
      <c r="B51" s="2" t="s">
        <v>39</v>
      </c>
      <c r="C51" s="12" t="n">
        <v>11</v>
      </c>
      <c r="D51" s="12" t="n">
        <v>2034</v>
      </c>
      <c r="E51" s="4" t="n">
        <f aca="false">INDEX(驱动复算!A12:X12,1,情景参数!B3)</f>
        <v>14781.69</v>
      </c>
      <c r="F51" s="4" t="n">
        <f aca="false">E51*(1-情景参数!D3)</f>
        <v>14781.69</v>
      </c>
      <c r="G51" s="4" t="n">
        <f aca="false">IF(情景参数!E3="原表",驱动复算!U12-驱动复算!W12,驱动复算!P12)</f>
        <v>8782.2546409708</v>
      </c>
      <c r="H51" s="4" t="n">
        <f aca="false">IF(情景参数!E3="原表",驱动复算!W12,F51*情景参数!C3)</f>
        <v>295.6338</v>
      </c>
      <c r="I51" s="4" t="n">
        <f aca="false">IF(情景参数!E3="原表",驱动复算!U12,G51+H51)</f>
        <v>9077.8884409708</v>
      </c>
      <c r="J51" s="4" t="n">
        <f aca="false">(F51-I51)*(1-情景参数!F3)</f>
        <v>5703.80155902921</v>
      </c>
      <c r="K51" s="4" t="n">
        <f aca="false">偿债原表!C13</f>
        <v>0</v>
      </c>
      <c r="L51" s="4" t="n">
        <f aca="false">偿债原表!D13</f>
        <v>673.2</v>
      </c>
      <c r="M51" s="4" t="n">
        <f aca="false">K51+L51</f>
        <v>673.2</v>
      </c>
      <c r="N51" s="4" t="n">
        <f aca="false">J51-M51</f>
        <v>5030.60155902921</v>
      </c>
      <c r="O51" s="4" t="n">
        <f aca="false">O50+N51</f>
        <v>2380.9410600027</v>
      </c>
      <c r="P51" s="4" t="n">
        <f aca="false">MAX(0,-(R50+N51))</f>
        <v>0</v>
      </c>
      <c r="Q51" s="4" t="n">
        <f aca="false">Q50+P51</f>
        <v>16145.3116</v>
      </c>
      <c r="R51" s="4" t="n">
        <f aca="false">O51+Q51</f>
        <v>18526.2526600027</v>
      </c>
    </row>
    <row r="52" customFormat="false" ht="15" hidden="false" customHeight="false" outlineLevel="0" collapsed="false">
      <c r="A52" s="2" t="s">
        <v>41</v>
      </c>
      <c r="B52" s="2" t="s">
        <v>39</v>
      </c>
      <c r="C52" s="12" t="n">
        <v>12</v>
      </c>
      <c r="D52" s="12" t="n">
        <v>2035</v>
      </c>
      <c r="E52" s="4" t="n">
        <f aca="false">INDEX(驱动复算!A13:X13,1,情景参数!B3)</f>
        <v>15455.6</v>
      </c>
      <c r="F52" s="4" t="n">
        <f aca="false">E52*(1-情景参数!D3)</f>
        <v>15455.6</v>
      </c>
      <c r="G52" s="4" t="n">
        <f aca="false">IF(情景参数!E3="原表",驱动复算!U13-驱动复算!W13,驱动复算!P13)</f>
        <v>9045.72228019992</v>
      </c>
      <c r="H52" s="4" t="n">
        <f aca="false">IF(情景参数!E3="原表",驱动复算!W13,F52*情景参数!C3)</f>
        <v>309.112</v>
      </c>
      <c r="I52" s="4" t="n">
        <f aca="false">IF(情景参数!E3="原表",驱动复算!U13,G52+H52)</f>
        <v>9354.83428019992</v>
      </c>
      <c r="J52" s="4" t="n">
        <f aca="false">(F52-I52)*(1-情景参数!F3)</f>
        <v>6100.76571980008</v>
      </c>
      <c r="K52" s="4" t="n">
        <f aca="false">偿债原表!C14</f>
        <v>0</v>
      </c>
      <c r="L52" s="4" t="n">
        <f aca="false">偿债原表!D14</f>
        <v>673.2</v>
      </c>
      <c r="M52" s="4" t="n">
        <f aca="false">K52+L52</f>
        <v>673.2</v>
      </c>
      <c r="N52" s="4" t="n">
        <f aca="false">J52-M52</f>
        <v>5427.56571980008</v>
      </c>
      <c r="O52" s="4" t="n">
        <f aca="false">O51+N52</f>
        <v>7808.50677980279</v>
      </c>
      <c r="P52" s="4" t="n">
        <f aca="false">MAX(0,-(R51+N52))</f>
        <v>0</v>
      </c>
      <c r="Q52" s="4" t="n">
        <f aca="false">Q51+P52</f>
        <v>16145.3116</v>
      </c>
      <c r="R52" s="4" t="n">
        <f aca="false">O52+Q52</f>
        <v>23953.8183798028</v>
      </c>
    </row>
    <row r="53" customFormat="false" ht="15" hidden="false" customHeight="false" outlineLevel="0" collapsed="false">
      <c r="A53" s="2" t="s">
        <v>41</v>
      </c>
      <c r="B53" s="2" t="s">
        <v>39</v>
      </c>
      <c r="C53" s="12" t="n">
        <v>13</v>
      </c>
      <c r="D53" s="12" t="n">
        <v>2036</v>
      </c>
      <c r="E53" s="4" t="n">
        <f aca="false">INDEX(驱动复算!A14:X14,1,情景参数!B3)</f>
        <v>16163.21</v>
      </c>
      <c r="F53" s="4" t="n">
        <f aca="false">E53*(1-情景参数!D3)</f>
        <v>16163.21</v>
      </c>
      <c r="G53" s="4" t="n">
        <f aca="false">IF(情景参数!E3="原表",驱动复算!U14-驱动复算!W14,驱动复算!P14)</f>
        <v>9317.09394860592</v>
      </c>
      <c r="H53" s="4" t="n">
        <f aca="false">IF(情景参数!E3="原表",驱动复算!W14,F53*情景参数!C3)</f>
        <v>323.2642</v>
      </c>
      <c r="I53" s="4" t="n">
        <f aca="false">IF(情景参数!E3="原表",驱动复算!U14,G53+H53)</f>
        <v>9640.35814860592</v>
      </c>
      <c r="J53" s="4" t="n">
        <f aca="false">(F53-I53)*(1-情景参数!F3)</f>
        <v>6522.85185139408</v>
      </c>
      <c r="K53" s="4" t="n">
        <f aca="false">偿债原表!C15</f>
        <v>0</v>
      </c>
      <c r="L53" s="4" t="n">
        <f aca="false">偿债原表!D15</f>
        <v>673.2</v>
      </c>
      <c r="M53" s="4" t="n">
        <f aca="false">K53+L53</f>
        <v>673.2</v>
      </c>
      <c r="N53" s="4" t="n">
        <f aca="false">J53-M53</f>
        <v>5849.65185139408</v>
      </c>
      <c r="O53" s="4" t="n">
        <f aca="false">O52+N53</f>
        <v>13658.1586311969</v>
      </c>
      <c r="P53" s="4" t="n">
        <f aca="false">MAX(0,-(R52+N53))</f>
        <v>0</v>
      </c>
      <c r="Q53" s="4" t="n">
        <f aca="false">Q52+P53</f>
        <v>16145.3116</v>
      </c>
      <c r="R53" s="4" t="n">
        <f aca="false">O53+Q53</f>
        <v>29803.4702311969</v>
      </c>
    </row>
    <row r="54" customFormat="false" ht="15" hidden="false" customHeight="false" outlineLevel="0" collapsed="false">
      <c r="A54" s="2" t="s">
        <v>41</v>
      </c>
      <c r="B54" s="2" t="s">
        <v>39</v>
      </c>
      <c r="C54" s="12" t="n">
        <v>14</v>
      </c>
      <c r="D54" s="12" t="n">
        <v>2037</v>
      </c>
      <c r="E54" s="4" t="n">
        <f aca="false">INDEX(驱动复算!A15:X15,1,情景参数!B3)</f>
        <v>16906.2</v>
      </c>
      <c r="F54" s="4" t="n">
        <f aca="false">E54*(1-情景参数!D3)</f>
        <v>16906.2</v>
      </c>
      <c r="G54" s="4" t="n">
        <f aca="false">IF(情景参数!E3="原表",驱动复算!U15-驱动复算!W15,驱动复算!P15)</f>
        <v>9596.6067670641</v>
      </c>
      <c r="H54" s="4" t="n">
        <f aca="false">IF(情景参数!E3="原表",驱动复算!W15,F54*情景参数!C3)</f>
        <v>338.124</v>
      </c>
      <c r="I54" s="4" t="n">
        <f aca="false">IF(情景参数!E3="原表",驱动复算!U15,G54+H54)</f>
        <v>9934.7307670641</v>
      </c>
      <c r="J54" s="4" t="n">
        <f aca="false">(F54-I54)*(1-情景参数!F3)</f>
        <v>6971.4692329359</v>
      </c>
      <c r="K54" s="4" t="n">
        <f aca="false">偿债原表!C16</f>
        <v>1000</v>
      </c>
      <c r="L54" s="4" t="n">
        <f aca="false">偿债原表!D16</f>
        <v>673.2</v>
      </c>
      <c r="M54" s="4" t="n">
        <f aca="false">K54+L54</f>
        <v>1673.2</v>
      </c>
      <c r="N54" s="4" t="n">
        <f aca="false">J54-M54</f>
        <v>5298.2692329359</v>
      </c>
      <c r="O54" s="4" t="n">
        <f aca="false">O53+N54</f>
        <v>18956.4278641328</v>
      </c>
      <c r="P54" s="4" t="n">
        <f aca="false">MAX(0,-(R53+N54))</f>
        <v>0</v>
      </c>
      <c r="Q54" s="4" t="n">
        <f aca="false">Q53+P54</f>
        <v>16145.3116</v>
      </c>
      <c r="R54" s="4" t="n">
        <f aca="false">O54+Q54</f>
        <v>35101.7394641328</v>
      </c>
    </row>
    <row r="55" customFormat="false" ht="15" hidden="false" customHeight="false" outlineLevel="0" collapsed="false">
      <c r="A55" s="2" t="s">
        <v>41</v>
      </c>
      <c r="B55" s="2" t="s">
        <v>39</v>
      </c>
      <c r="C55" s="12" t="n">
        <v>15</v>
      </c>
      <c r="D55" s="12" t="n">
        <v>2038</v>
      </c>
      <c r="E55" s="4" t="n">
        <f aca="false">INDEX(驱动复算!A16:X16,1,情景参数!B3)</f>
        <v>17546.68</v>
      </c>
      <c r="F55" s="4" t="n">
        <f aca="false">E55*(1-情景参数!D3)</f>
        <v>17546.68</v>
      </c>
      <c r="G55" s="4" t="n">
        <f aca="false">IF(情景参数!E3="原表",驱动复算!U16-驱动复算!W16,驱动复算!P16)</f>
        <v>9884.50497007602</v>
      </c>
      <c r="H55" s="4" t="n">
        <f aca="false">IF(情景参数!E3="原表",驱动复算!W16,F55*情景参数!C3)</f>
        <v>350.9336</v>
      </c>
      <c r="I55" s="4" t="n">
        <f aca="false">IF(情景参数!E3="原表",驱动复算!U16,G55+H55)</f>
        <v>10235.438570076</v>
      </c>
      <c r="J55" s="4" t="n">
        <f aca="false">(F55-I55)*(1-情景参数!F3)</f>
        <v>7311.24142992398</v>
      </c>
      <c r="K55" s="4" t="n">
        <f aca="false">偿债原表!C17</f>
        <v>0</v>
      </c>
      <c r="L55" s="4" t="n">
        <f aca="false">偿债原表!D17</f>
        <v>644</v>
      </c>
      <c r="M55" s="4" t="n">
        <f aca="false">K55+L55</f>
        <v>644</v>
      </c>
      <c r="N55" s="4" t="n">
        <f aca="false">J55-M55</f>
        <v>6667.24142992398</v>
      </c>
      <c r="O55" s="4" t="n">
        <f aca="false">O54+N55</f>
        <v>25623.6692940568</v>
      </c>
      <c r="P55" s="4" t="n">
        <f aca="false">MAX(0,-(R54+N55))</f>
        <v>0</v>
      </c>
      <c r="Q55" s="4" t="n">
        <f aca="false">Q54+P55</f>
        <v>16145.3116</v>
      </c>
      <c r="R55" s="4" t="n">
        <f aca="false">O55+Q55</f>
        <v>41768.9808940568</v>
      </c>
    </row>
    <row r="56" customFormat="false" ht="15" hidden="false" customHeight="false" outlineLevel="0" collapsed="false">
      <c r="A56" s="2" t="s">
        <v>41</v>
      </c>
      <c r="B56" s="2" t="s">
        <v>39</v>
      </c>
      <c r="C56" s="12" t="n">
        <v>16</v>
      </c>
      <c r="D56" s="12" t="n">
        <v>2039</v>
      </c>
      <c r="E56" s="4" t="n">
        <f aca="false">INDEX(驱动复算!A17:X17,1,情景参数!B3)</f>
        <v>17864.98</v>
      </c>
      <c r="F56" s="4" t="n">
        <f aca="false">E56*(1-情景参数!D3)</f>
        <v>17864.98</v>
      </c>
      <c r="G56" s="4" t="n">
        <f aca="false">IF(情景参数!E3="原表",驱动复算!U17-驱动复算!W17,驱动复算!P17)</f>
        <v>10181.0401191783</v>
      </c>
      <c r="H56" s="4" t="n">
        <f aca="false">IF(情景参数!E3="原表",驱动复算!W17,F56*情景参数!C3)</f>
        <v>357.2996</v>
      </c>
      <c r="I56" s="4" t="n">
        <f aca="false">IF(情景参数!E3="原表",驱动复算!U17,G56+H56)</f>
        <v>10538.3397191783</v>
      </c>
      <c r="J56" s="4" t="n">
        <f aca="false">(F56-I56)*(1-情景参数!F3)</f>
        <v>7326.6402808217</v>
      </c>
      <c r="K56" s="4" t="n">
        <f aca="false">偿债原表!C18</f>
        <v>0</v>
      </c>
      <c r="L56" s="4" t="n">
        <f aca="false">偿债原表!D18</f>
        <v>644</v>
      </c>
      <c r="M56" s="4" t="n">
        <f aca="false">K56+L56</f>
        <v>644</v>
      </c>
      <c r="N56" s="4" t="n">
        <f aca="false">J56-M56</f>
        <v>6682.6402808217</v>
      </c>
      <c r="O56" s="4" t="n">
        <f aca="false">O55+N56</f>
        <v>32306.3095748785</v>
      </c>
      <c r="P56" s="4" t="n">
        <f aca="false">MAX(0,-(R55+N56))</f>
        <v>0</v>
      </c>
      <c r="Q56" s="4" t="n">
        <f aca="false">Q55+P56</f>
        <v>16145.3116</v>
      </c>
      <c r="R56" s="4" t="n">
        <f aca="false">O56+Q56</f>
        <v>48451.6211748785</v>
      </c>
    </row>
    <row r="57" customFormat="false" ht="15" hidden="false" customHeight="false" outlineLevel="0" collapsed="false">
      <c r="A57" s="2" t="s">
        <v>41</v>
      </c>
      <c r="B57" s="2" t="s">
        <v>39</v>
      </c>
      <c r="C57" s="12" t="n">
        <v>17</v>
      </c>
      <c r="D57" s="12" t="n">
        <v>2040</v>
      </c>
      <c r="E57" s="4" t="n">
        <f aca="false">INDEX(驱动复算!A18:X18,1,情景参数!B3)</f>
        <v>18189.64</v>
      </c>
      <c r="F57" s="4" t="n">
        <f aca="false">E57*(1-情景参数!D3)</f>
        <v>18189.64</v>
      </c>
      <c r="G57" s="4" t="n">
        <f aca="false">IF(情景参数!E3="原表",驱动复算!U18-驱动复算!W18,驱动复算!P18)</f>
        <v>10486.4713227536</v>
      </c>
      <c r="H57" s="4" t="n">
        <f aca="false">IF(情景参数!E3="原表",驱动复算!W18,F57*情景参数!C3)</f>
        <v>363.7928</v>
      </c>
      <c r="I57" s="4" t="n">
        <f aca="false">IF(情景参数!E3="原表",驱动复算!U18,G57+H57)</f>
        <v>10850.2641227536</v>
      </c>
      <c r="J57" s="4" t="n">
        <f aca="false">(F57-I57)*(1-情景参数!F3)</f>
        <v>7339.37587724635</v>
      </c>
      <c r="K57" s="4" t="n">
        <f aca="false">偿债原表!C19</f>
        <v>0</v>
      </c>
      <c r="L57" s="4" t="n">
        <f aca="false">偿债原表!D19</f>
        <v>644</v>
      </c>
      <c r="M57" s="4" t="n">
        <f aca="false">K57+L57</f>
        <v>644</v>
      </c>
      <c r="N57" s="4" t="n">
        <f aca="false">J57-M57</f>
        <v>6695.37587724635</v>
      </c>
      <c r="O57" s="4" t="n">
        <f aca="false">O56+N57</f>
        <v>39001.6854521248</v>
      </c>
      <c r="P57" s="4" t="n">
        <f aca="false">MAX(0,-(R56+N57))</f>
        <v>0</v>
      </c>
      <c r="Q57" s="4" t="n">
        <f aca="false">Q56+P57</f>
        <v>16145.3116</v>
      </c>
      <c r="R57" s="4" t="n">
        <f aca="false">O57+Q57</f>
        <v>55146.9970521248</v>
      </c>
    </row>
    <row r="58" customFormat="false" ht="15" hidden="false" customHeight="false" outlineLevel="0" collapsed="false">
      <c r="A58" s="2" t="s">
        <v>41</v>
      </c>
      <c r="B58" s="2" t="s">
        <v>39</v>
      </c>
      <c r="C58" s="12" t="n">
        <v>18</v>
      </c>
      <c r="D58" s="12" t="n">
        <v>2041</v>
      </c>
      <c r="E58" s="4" t="n">
        <f aca="false">INDEX(驱动复算!A19:X19,1,情景参数!B3)</f>
        <v>18520.8</v>
      </c>
      <c r="F58" s="4" t="n">
        <f aca="false">E58*(1-情景参数!D3)</f>
        <v>18520.8</v>
      </c>
      <c r="G58" s="4" t="n">
        <f aca="false">IF(情景参数!E3="原表",驱动复算!U19-驱动复算!W19,驱动复算!P19)</f>
        <v>10801.0654624363</v>
      </c>
      <c r="H58" s="4" t="n">
        <f aca="false">IF(情景参数!E3="原表",驱动复算!W19,F58*情景参数!C3)</f>
        <v>370.416</v>
      </c>
      <c r="I58" s="4" t="n">
        <f aca="false">IF(情景参数!E3="原表",驱动复算!U19,G58+H58)</f>
        <v>11171.4814624363</v>
      </c>
      <c r="J58" s="4" t="n">
        <f aca="false">(F58-I58)*(1-情景参数!F3)</f>
        <v>7349.31853756374</v>
      </c>
      <c r="K58" s="4" t="n">
        <f aca="false">偿债原表!C20</f>
        <v>20000</v>
      </c>
      <c r="L58" s="4" t="n">
        <f aca="false">偿债原表!D20</f>
        <v>644</v>
      </c>
      <c r="M58" s="4" t="n">
        <f aca="false">K58+L58</f>
        <v>20644</v>
      </c>
      <c r="N58" s="4" t="n">
        <f aca="false">J58-M58</f>
        <v>-13294.6814624363</v>
      </c>
      <c r="O58" s="4" t="n">
        <f aca="false">O57+N58</f>
        <v>25707.0039896885</v>
      </c>
      <c r="P58" s="4" t="n">
        <f aca="false">MAX(0,-(R57+N58))</f>
        <v>0</v>
      </c>
      <c r="Q58" s="4" t="n">
        <f aca="false">Q57+P58</f>
        <v>16145.3116</v>
      </c>
      <c r="R58" s="4" t="n">
        <f aca="false">O58+Q58</f>
        <v>41852.3155896885</v>
      </c>
    </row>
    <row r="59" customFormat="false" ht="15" hidden="false" customHeight="false" outlineLevel="0" collapsed="false">
      <c r="A59" s="2" t="s">
        <v>41</v>
      </c>
      <c r="B59" s="2" t="s">
        <v>40</v>
      </c>
      <c r="C59" s="12" t="n">
        <v>0</v>
      </c>
      <c r="D59" s="13" t="s">
        <v>248</v>
      </c>
      <c r="E59" s="4" t="n">
        <f aca="false">0</f>
        <v>0</v>
      </c>
      <c r="F59" s="4" t="n">
        <f aca="false">E59*(1-情景参数!D3)</f>
        <v>0</v>
      </c>
      <c r="G59" s="4" t="n">
        <f aca="false">0</f>
        <v>0</v>
      </c>
      <c r="H59" s="4" t="n">
        <f aca="false">0</f>
        <v>0</v>
      </c>
      <c r="I59" s="4" t="n">
        <f aca="false">0</f>
        <v>0</v>
      </c>
      <c r="J59" s="4" t="n">
        <f aca="false">(F59-I59)*(1-情景参数!F3)</f>
        <v>0</v>
      </c>
      <c r="K59" s="4" t="n">
        <f aca="false">偿债原表!F2</f>
        <v>0</v>
      </c>
      <c r="L59" s="4" t="n">
        <f aca="false">偿债原表!G2</f>
        <v>1374.2</v>
      </c>
      <c r="M59" s="4" t="n">
        <f aca="false">K59+L59</f>
        <v>1374.2</v>
      </c>
      <c r="N59" s="4" t="n">
        <f aca="false">J59-M59</f>
        <v>-1374.2</v>
      </c>
      <c r="O59" s="4" t="n">
        <f aca="false">N59</f>
        <v>-1374.2</v>
      </c>
      <c r="P59" s="4" t="n">
        <f aca="false">MAX(0,-N59)</f>
        <v>1374.2</v>
      </c>
      <c r="Q59" s="4" t="n">
        <f aca="false">P59</f>
        <v>1374.2</v>
      </c>
      <c r="R59" s="4" t="n">
        <f aca="false">O59+Q59</f>
        <v>0</v>
      </c>
    </row>
    <row r="60" customFormat="false" ht="15" hidden="false" customHeight="false" outlineLevel="0" collapsed="false">
      <c r="A60" s="2" t="s">
        <v>41</v>
      </c>
      <c r="B60" s="2" t="s">
        <v>40</v>
      </c>
      <c r="C60" s="12" t="n">
        <v>1</v>
      </c>
      <c r="D60" s="12" t="n">
        <v>2024</v>
      </c>
      <c r="E60" s="4" t="n">
        <f aca="false">INDEX(驱动复算!A2:X2,1,情景参数!B3)</f>
        <v>0</v>
      </c>
      <c r="F60" s="4" t="n">
        <f aca="false">E60*(1-情景参数!D3)</f>
        <v>0</v>
      </c>
      <c r="G60" s="4" t="n">
        <f aca="false">IF(情景参数!E3="原表",驱动复算!U2-驱动复算!W2,驱动复算!P2)</f>
        <v>0</v>
      </c>
      <c r="H60" s="4" t="n">
        <f aca="false">IF(情景参数!E3="原表",驱动复算!W2,F60*情景参数!C3)</f>
        <v>0</v>
      </c>
      <c r="I60" s="4" t="n">
        <f aca="false">IF(情景参数!E3="原表",驱动复算!U2,G60+H60)</f>
        <v>0</v>
      </c>
      <c r="J60" s="4" t="n">
        <f aca="false">(F60-I60)*(1-情景参数!F3)</f>
        <v>0</v>
      </c>
      <c r="K60" s="4" t="n">
        <f aca="false">偿债原表!F3</f>
        <v>0</v>
      </c>
      <c r="L60" s="4" t="n">
        <f aca="false">偿债原表!G3</f>
        <v>1107.58</v>
      </c>
      <c r="M60" s="4" t="n">
        <f aca="false">K60+L60</f>
        <v>1107.58</v>
      </c>
      <c r="N60" s="4" t="n">
        <f aca="false">J60-M60</f>
        <v>-1107.58</v>
      </c>
      <c r="O60" s="4" t="n">
        <f aca="false">O59+N60</f>
        <v>-2481.78</v>
      </c>
      <c r="P60" s="4" t="n">
        <f aca="false">MAX(0,-(R59+N60))</f>
        <v>1107.58</v>
      </c>
      <c r="Q60" s="4" t="n">
        <f aca="false">Q59+P60</f>
        <v>2481.78</v>
      </c>
      <c r="R60" s="4" t="n">
        <f aca="false">O60+Q60</f>
        <v>0</v>
      </c>
    </row>
    <row r="61" customFormat="false" ht="15" hidden="false" customHeight="false" outlineLevel="0" collapsed="false">
      <c r="A61" s="2" t="s">
        <v>41</v>
      </c>
      <c r="B61" s="2" t="s">
        <v>40</v>
      </c>
      <c r="C61" s="12" t="n">
        <v>2</v>
      </c>
      <c r="D61" s="12" t="n">
        <v>2025</v>
      </c>
      <c r="E61" s="4" t="n">
        <f aca="false">INDEX(驱动复算!A3:X3,1,情景参数!B3)</f>
        <v>0</v>
      </c>
      <c r="F61" s="4" t="n">
        <f aca="false">E61*(1-情景参数!D3)</f>
        <v>0</v>
      </c>
      <c r="G61" s="4" t="n">
        <f aca="false">IF(情景参数!E3="原表",驱动复算!U3-驱动复算!W3,驱动复算!P3)</f>
        <v>0</v>
      </c>
      <c r="H61" s="4" t="n">
        <f aca="false">IF(情景参数!E3="原表",驱动复算!W3,F61*情景参数!C3)</f>
        <v>0</v>
      </c>
      <c r="I61" s="4" t="n">
        <f aca="false">IF(情景参数!E3="原表",驱动复算!U3,G61+H61)</f>
        <v>0</v>
      </c>
      <c r="J61" s="4" t="n">
        <f aca="false">(F61-I61)*(1-情景参数!F3)</f>
        <v>0</v>
      </c>
      <c r="K61" s="4" t="n">
        <f aca="false">偿债原表!F4</f>
        <v>0</v>
      </c>
      <c r="L61" s="4" t="n">
        <f aca="false">偿债原表!G4</f>
        <v>1107.58</v>
      </c>
      <c r="M61" s="4" t="n">
        <f aca="false">K61+L61</f>
        <v>1107.58</v>
      </c>
      <c r="N61" s="4" t="n">
        <f aca="false">J61-M61</f>
        <v>-1107.58</v>
      </c>
      <c r="O61" s="4" t="n">
        <f aca="false">O60+N61</f>
        <v>-3589.36</v>
      </c>
      <c r="P61" s="4" t="n">
        <f aca="false">MAX(0,-(R60+N61))</f>
        <v>1107.58</v>
      </c>
      <c r="Q61" s="4" t="n">
        <f aca="false">Q60+P61</f>
        <v>3589.36</v>
      </c>
      <c r="R61" s="4" t="n">
        <f aca="false">O61+Q61</f>
        <v>0</v>
      </c>
    </row>
    <row r="62" customFormat="false" ht="15" hidden="false" customHeight="false" outlineLevel="0" collapsed="false">
      <c r="A62" s="2" t="s">
        <v>41</v>
      </c>
      <c r="B62" s="2" t="s">
        <v>40</v>
      </c>
      <c r="C62" s="12" t="n">
        <v>3</v>
      </c>
      <c r="D62" s="12" t="n">
        <v>2026</v>
      </c>
      <c r="E62" s="4" t="n">
        <f aca="false">INDEX(驱动复算!A4:X4,1,情景参数!B3)</f>
        <v>0</v>
      </c>
      <c r="F62" s="4" t="n">
        <f aca="false">E62*(1-情景参数!D3)</f>
        <v>0</v>
      </c>
      <c r="G62" s="4" t="n">
        <f aca="false">IF(情景参数!E3="原表",驱动复算!U4-驱动复算!W4,驱动复算!P4)</f>
        <v>0</v>
      </c>
      <c r="H62" s="4" t="n">
        <f aca="false">IF(情景参数!E3="原表",驱动复算!W4,F62*情景参数!C3)</f>
        <v>0</v>
      </c>
      <c r="I62" s="4" t="n">
        <f aca="false">IF(情景参数!E3="原表",驱动复算!U4,G62+H62)</f>
        <v>0</v>
      </c>
      <c r="J62" s="4" t="n">
        <f aca="false">(F62-I62)*(1-情景参数!F3)</f>
        <v>0</v>
      </c>
      <c r="K62" s="4" t="n">
        <f aca="false">偿债原表!F5</f>
        <v>0</v>
      </c>
      <c r="L62" s="4" t="n">
        <f aca="false">偿债原表!G5</f>
        <v>1107.58</v>
      </c>
      <c r="M62" s="4" t="n">
        <f aca="false">K62+L62</f>
        <v>1107.58</v>
      </c>
      <c r="N62" s="4" t="n">
        <f aca="false">J62-M62</f>
        <v>-1107.58</v>
      </c>
      <c r="O62" s="4" t="n">
        <f aca="false">O61+N62</f>
        <v>-4696.94</v>
      </c>
      <c r="P62" s="4" t="n">
        <f aca="false">MAX(0,-(R61+N62))</f>
        <v>1107.58</v>
      </c>
      <c r="Q62" s="4" t="n">
        <f aca="false">Q61+P62</f>
        <v>4696.94</v>
      </c>
      <c r="R62" s="4" t="n">
        <f aca="false">O62+Q62</f>
        <v>0</v>
      </c>
    </row>
    <row r="63" customFormat="false" ht="15" hidden="false" customHeight="false" outlineLevel="0" collapsed="false">
      <c r="A63" s="2" t="s">
        <v>41</v>
      </c>
      <c r="B63" s="2" t="s">
        <v>40</v>
      </c>
      <c r="C63" s="12" t="n">
        <v>4</v>
      </c>
      <c r="D63" s="12" t="n">
        <v>2027</v>
      </c>
      <c r="E63" s="4" t="n">
        <f aca="false">INDEX(驱动复算!A5:X5,1,情景参数!B3)</f>
        <v>0</v>
      </c>
      <c r="F63" s="4" t="n">
        <f aca="false">E63*(1-情景参数!D3)</f>
        <v>0</v>
      </c>
      <c r="G63" s="4" t="n">
        <f aca="false">IF(情景参数!E3="原表",驱动复算!U5-驱动复算!W5,驱动复算!P5)</f>
        <v>0</v>
      </c>
      <c r="H63" s="4" t="n">
        <f aca="false">IF(情景参数!E3="原表",驱动复算!W5,F63*情景参数!C3)</f>
        <v>0</v>
      </c>
      <c r="I63" s="4" t="n">
        <f aca="false">IF(情景参数!E3="原表",驱动复算!U5,G63+H63)</f>
        <v>0</v>
      </c>
      <c r="J63" s="4" t="n">
        <f aca="false">(F63-I63)*(1-情景参数!F3)</f>
        <v>0</v>
      </c>
      <c r="K63" s="4" t="n">
        <f aca="false">偿债原表!F6</f>
        <v>0</v>
      </c>
      <c r="L63" s="4" t="n">
        <f aca="false">偿债原表!G6</f>
        <v>1107.58</v>
      </c>
      <c r="M63" s="4" t="n">
        <f aca="false">K63+L63</f>
        <v>1107.58</v>
      </c>
      <c r="N63" s="4" t="n">
        <f aca="false">J63-M63</f>
        <v>-1107.58</v>
      </c>
      <c r="O63" s="4" t="n">
        <f aca="false">O62+N63</f>
        <v>-5804.52</v>
      </c>
      <c r="P63" s="4" t="n">
        <f aca="false">MAX(0,-(R62+N63))</f>
        <v>1107.58</v>
      </c>
      <c r="Q63" s="4" t="n">
        <f aca="false">Q62+P63</f>
        <v>5804.52</v>
      </c>
      <c r="R63" s="4" t="n">
        <f aca="false">O63+Q63</f>
        <v>0</v>
      </c>
    </row>
    <row r="64" customFormat="false" ht="15" hidden="false" customHeight="false" outlineLevel="0" collapsed="false">
      <c r="A64" s="2" t="s">
        <v>41</v>
      </c>
      <c r="B64" s="2" t="s">
        <v>40</v>
      </c>
      <c r="C64" s="12" t="n">
        <v>5</v>
      </c>
      <c r="D64" s="12" t="n">
        <v>2028</v>
      </c>
      <c r="E64" s="4" t="n">
        <f aca="false">INDEX(驱动复算!A6:X6,1,情景参数!B3)</f>
        <v>9234.58</v>
      </c>
      <c r="F64" s="4" t="n">
        <f aca="false">E64*(1-情景参数!D3)</f>
        <v>9234.58</v>
      </c>
      <c r="G64" s="4" t="n">
        <f aca="false">IF(情景参数!E3="原表",驱动复算!U6-驱动复算!W6,驱动复算!P6)</f>
        <v>7355</v>
      </c>
      <c r="H64" s="4" t="n">
        <f aca="false">IF(情景参数!E3="原表",驱动复算!W6,F64*情景参数!C3)</f>
        <v>184.6916</v>
      </c>
      <c r="I64" s="4" t="n">
        <f aca="false">IF(情景参数!E3="原表",驱动复算!U6,G64+H64)</f>
        <v>7539.6916</v>
      </c>
      <c r="J64" s="4" t="n">
        <f aca="false">(F64-I64)*(1-情景参数!F3)</f>
        <v>1694.8884</v>
      </c>
      <c r="K64" s="4" t="n">
        <f aca="false">偿债原表!F7</f>
        <v>1400</v>
      </c>
      <c r="L64" s="4" t="n">
        <f aca="false">偿债原表!G7</f>
        <v>1107.58</v>
      </c>
      <c r="M64" s="4" t="n">
        <f aca="false">K64+L64</f>
        <v>2507.58</v>
      </c>
      <c r="N64" s="4" t="n">
        <f aca="false">J64-M64</f>
        <v>-812.6916</v>
      </c>
      <c r="O64" s="4" t="n">
        <f aca="false">O63+N64</f>
        <v>-6617.2116</v>
      </c>
      <c r="P64" s="4" t="n">
        <f aca="false">MAX(0,-(R63+N64))</f>
        <v>812.6916</v>
      </c>
      <c r="Q64" s="4" t="n">
        <f aca="false">Q63+P64</f>
        <v>6617.2116</v>
      </c>
      <c r="R64" s="4" t="n">
        <f aca="false">O64+Q64</f>
        <v>0</v>
      </c>
    </row>
    <row r="65" customFormat="false" ht="15" hidden="false" customHeight="false" outlineLevel="0" collapsed="false">
      <c r="A65" s="2" t="s">
        <v>41</v>
      </c>
      <c r="B65" s="2" t="s">
        <v>40</v>
      </c>
      <c r="C65" s="12" t="n">
        <v>6</v>
      </c>
      <c r="D65" s="12" t="n">
        <v>2029</v>
      </c>
      <c r="E65" s="4" t="n">
        <f aca="false">INDEX(驱动复算!A7:X7,1,情景参数!B3)</f>
        <v>10123.19</v>
      </c>
      <c r="F65" s="4" t="n">
        <f aca="false">E65*(1-情景参数!D3)</f>
        <v>10123.19</v>
      </c>
      <c r="G65" s="4" t="n">
        <f aca="false">IF(情景参数!E3="原表",驱动复算!U7-驱动复算!W7,驱动复算!P7)</f>
        <v>7575.65</v>
      </c>
      <c r="H65" s="4" t="n">
        <f aca="false">IF(情景参数!E3="原表",驱动复算!W7,F65*情景参数!C3)</f>
        <v>202.4638</v>
      </c>
      <c r="I65" s="4" t="n">
        <f aca="false">IF(情景参数!E3="原表",驱动复算!U7,G65+H65)</f>
        <v>7778.1138</v>
      </c>
      <c r="J65" s="4" t="n">
        <f aca="false">(F65-I65)*(1-情景参数!F3)</f>
        <v>2345.0762</v>
      </c>
      <c r="K65" s="4" t="n">
        <f aca="false">偿债原表!F8</f>
        <v>0</v>
      </c>
      <c r="L65" s="4" t="n">
        <f aca="false">偿债原表!G8</f>
        <v>1075.8</v>
      </c>
      <c r="M65" s="4" t="n">
        <f aca="false">K65+L65</f>
        <v>1075.8</v>
      </c>
      <c r="N65" s="4" t="n">
        <f aca="false">J65-M65</f>
        <v>1269.2762</v>
      </c>
      <c r="O65" s="4" t="n">
        <f aca="false">O64+N65</f>
        <v>-5347.9354</v>
      </c>
      <c r="P65" s="4" t="n">
        <f aca="false">MAX(0,-(R64+N65))</f>
        <v>0</v>
      </c>
      <c r="Q65" s="4" t="n">
        <f aca="false">Q64+P65</f>
        <v>6617.2116</v>
      </c>
      <c r="R65" s="4" t="n">
        <f aca="false">O65+Q65</f>
        <v>1269.2762</v>
      </c>
    </row>
    <row r="66" customFormat="false" ht="15" hidden="false" customHeight="false" outlineLevel="0" collapsed="false">
      <c r="A66" s="2" t="s">
        <v>41</v>
      </c>
      <c r="B66" s="2" t="s">
        <v>40</v>
      </c>
      <c r="C66" s="12" t="n">
        <v>7</v>
      </c>
      <c r="D66" s="12" t="n">
        <v>2030</v>
      </c>
      <c r="E66" s="4" t="n">
        <f aca="false">INDEX(驱动复算!A8:X8,1,情景参数!B3)</f>
        <v>11041.69</v>
      </c>
      <c r="F66" s="4" t="n">
        <f aca="false">E66*(1-情景参数!D3)</f>
        <v>11041.69</v>
      </c>
      <c r="G66" s="4" t="n">
        <f aca="false">IF(情景参数!E3="原表",驱动复算!U8-驱动复算!W8,驱动复算!P8)</f>
        <v>7802.9195</v>
      </c>
      <c r="H66" s="4" t="n">
        <f aca="false">IF(情景参数!E3="原表",驱动复算!W8,F66*情景参数!C3)</f>
        <v>220.8338</v>
      </c>
      <c r="I66" s="4" t="n">
        <f aca="false">IF(情景参数!E3="原表",驱动复算!U8,G66+H66)</f>
        <v>8023.7533</v>
      </c>
      <c r="J66" s="4" t="n">
        <f aca="false">(F66-I66)*(1-情景参数!F3)</f>
        <v>3017.9367</v>
      </c>
      <c r="K66" s="4" t="n">
        <f aca="false">偿债原表!F9</f>
        <v>0</v>
      </c>
      <c r="L66" s="4" t="n">
        <f aca="false">偿债原表!G9</f>
        <v>1075.8</v>
      </c>
      <c r="M66" s="4" t="n">
        <f aca="false">K66+L66</f>
        <v>1075.8</v>
      </c>
      <c r="N66" s="4" t="n">
        <f aca="false">J66-M66</f>
        <v>1942.1367</v>
      </c>
      <c r="O66" s="4" t="n">
        <f aca="false">O65+N66</f>
        <v>-3405.7987</v>
      </c>
      <c r="P66" s="4" t="n">
        <f aca="false">MAX(0,-(R65+N66))</f>
        <v>0</v>
      </c>
      <c r="Q66" s="4" t="n">
        <f aca="false">Q65+P66</f>
        <v>6617.2116</v>
      </c>
      <c r="R66" s="4" t="n">
        <f aca="false">O66+Q66</f>
        <v>3211.4129</v>
      </c>
    </row>
    <row r="67" customFormat="false" ht="15" hidden="false" customHeight="false" outlineLevel="0" collapsed="false">
      <c r="A67" s="2" t="s">
        <v>41</v>
      </c>
      <c r="B67" s="2" t="s">
        <v>40</v>
      </c>
      <c r="C67" s="12" t="n">
        <v>8</v>
      </c>
      <c r="D67" s="12" t="n">
        <v>2031</v>
      </c>
      <c r="E67" s="4" t="n">
        <f aca="false">INDEX(驱动复算!A9:X9,1,情景参数!B3)</f>
        <v>12052.04</v>
      </c>
      <c r="F67" s="4" t="n">
        <f aca="false">E67*(1-情景参数!D3)</f>
        <v>12052.04</v>
      </c>
      <c r="G67" s="4" t="n">
        <f aca="false">IF(情景参数!E3="原表",驱动复算!U9-驱动复算!W9,驱动复算!P9)</f>
        <v>8037.007085</v>
      </c>
      <c r="H67" s="4" t="n">
        <f aca="false">IF(情景参数!E3="原表",驱动复算!W9,F67*情景参数!C3)</f>
        <v>241.0408</v>
      </c>
      <c r="I67" s="4" t="n">
        <f aca="false">IF(情景参数!E3="原表",驱动复算!U9,G67+H67)</f>
        <v>8278.047885</v>
      </c>
      <c r="J67" s="4" t="n">
        <f aca="false">(F67-I67)*(1-情景参数!F3)</f>
        <v>3773.992115</v>
      </c>
      <c r="K67" s="4" t="n">
        <f aca="false">偿债原表!F10</f>
        <v>0</v>
      </c>
      <c r="L67" s="4" t="n">
        <f aca="false">偿债原表!G10</f>
        <v>1075.8</v>
      </c>
      <c r="M67" s="4" t="n">
        <f aca="false">K67+L67</f>
        <v>1075.8</v>
      </c>
      <c r="N67" s="4" t="n">
        <f aca="false">J67-M67</f>
        <v>2698.192115</v>
      </c>
      <c r="O67" s="4" t="n">
        <f aca="false">O66+N67</f>
        <v>-707.606585</v>
      </c>
      <c r="P67" s="4" t="n">
        <f aca="false">MAX(0,-(R66+N67))</f>
        <v>0</v>
      </c>
      <c r="Q67" s="4" t="n">
        <f aca="false">Q66+P67</f>
        <v>6617.2116</v>
      </c>
      <c r="R67" s="4" t="n">
        <f aca="false">O67+Q67</f>
        <v>5909.605015</v>
      </c>
    </row>
    <row r="68" customFormat="false" ht="15" hidden="false" customHeight="false" outlineLevel="0" collapsed="false">
      <c r="A68" s="2" t="s">
        <v>41</v>
      </c>
      <c r="B68" s="2" t="s">
        <v>40</v>
      </c>
      <c r="C68" s="12" t="n">
        <v>9</v>
      </c>
      <c r="D68" s="12" t="n">
        <v>2032</v>
      </c>
      <c r="E68" s="4" t="n">
        <f aca="false">INDEX(驱动复算!A10:X10,1,情景参数!B3)</f>
        <v>13163.43</v>
      </c>
      <c r="F68" s="4" t="n">
        <f aca="false">E68*(1-情景参数!D3)</f>
        <v>13163.43</v>
      </c>
      <c r="G68" s="4" t="n">
        <f aca="false">IF(情景参数!E3="原表",驱动复算!U10-驱动复算!W10,驱动复算!P10)</f>
        <v>8278.11729755</v>
      </c>
      <c r="H68" s="4" t="n">
        <f aca="false">IF(情景参数!E3="原表",驱动复算!W10,F68*情景参数!C3)</f>
        <v>263.2686</v>
      </c>
      <c r="I68" s="4" t="n">
        <f aca="false">IF(情景参数!E3="原表",驱动复算!U10,G68+H68)</f>
        <v>8541.38589755</v>
      </c>
      <c r="J68" s="4" t="n">
        <f aca="false">(F68-I68)*(1-情景参数!F3)</f>
        <v>4622.04410245</v>
      </c>
      <c r="K68" s="4" t="n">
        <f aca="false">偿债原表!F11</f>
        <v>2000</v>
      </c>
      <c r="L68" s="4" t="n">
        <f aca="false">偿债原表!G11</f>
        <v>1075.8</v>
      </c>
      <c r="M68" s="4" t="n">
        <f aca="false">K68+L68</f>
        <v>3075.8</v>
      </c>
      <c r="N68" s="4" t="n">
        <f aca="false">J68-M68</f>
        <v>1546.24410245</v>
      </c>
      <c r="O68" s="4" t="n">
        <f aca="false">O67+N68</f>
        <v>838.63751745</v>
      </c>
      <c r="P68" s="4" t="n">
        <f aca="false">MAX(0,-(R67+N68))</f>
        <v>0</v>
      </c>
      <c r="Q68" s="4" t="n">
        <f aca="false">Q67+P68</f>
        <v>6617.2116</v>
      </c>
      <c r="R68" s="4" t="n">
        <f aca="false">O68+Q68</f>
        <v>7455.84911745</v>
      </c>
    </row>
    <row r="69" customFormat="false" ht="15" hidden="false" customHeight="false" outlineLevel="0" collapsed="false">
      <c r="A69" s="2" t="s">
        <v>41</v>
      </c>
      <c r="B69" s="2" t="s">
        <v>40</v>
      </c>
      <c r="C69" s="12" t="n">
        <v>10</v>
      </c>
      <c r="D69" s="12" t="n">
        <v>2033</v>
      </c>
      <c r="E69" s="4" t="n">
        <f aca="false">INDEX(驱动复算!A11:X11,1,情景参数!B3)</f>
        <v>14139.86</v>
      </c>
      <c r="F69" s="4" t="n">
        <f aca="false">E69*(1-情景参数!D3)</f>
        <v>14139.86</v>
      </c>
      <c r="G69" s="4" t="n">
        <f aca="false">IF(情景参数!E3="原表",驱动复算!U11-驱动复算!W11,驱动复算!P11)</f>
        <v>8526.4608164765</v>
      </c>
      <c r="H69" s="4" t="n">
        <f aca="false">IF(情景参数!E3="原表",驱动复算!W11,F69*情景参数!C3)</f>
        <v>282.7972</v>
      </c>
      <c r="I69" s="4" t="n">
        <f aca="false">IF(情景参数!E3="原表",驱动复算!U11,G69+H69)</f>
        <v>8809.2580164765</v>
      </c>
      <c r="J69" s="4" t="n">
        <f aca="false">(F69-I69)*(1-情景参数!F3)</f>
        <v>5330.6019835235</v>
      </c>
      <c r="K69" s="4" t="n">
        <f aca="false">偿债原表!F12</f>
        <v>9600</v>
      </c>
      <c r="L69" s="4" t="n">
        <f aca="false">偿债原表!G12</f>
        <v>1018.8</v>
      </c>
      <c r="M69" s="4" t="n">
        <f aca="false">K69+L69</f>
        <v>10618.8</v>
      </c>
      <c r="N69" s="4" t="n">
        <f aca="false">J69-M69</f>
        <v>-5288.1980164765</v>
      </c>
      <c r="O69" s="4" t="n">
        <f aca="false">O68+N69</f>
        <v>-4449.5604990265</v>
      </c>
      <c r="P69" s="4" t="n">
        <f aca="false">MAX(0,-(R68+N69))</f>
        <v>0</v>
      </c>
      <c r="Q69" s="4" t="n">
        <f aca="false">Q68+P69</f>
        <v>6617.2116</v>
      </c>
      <c r="R69" s="4" t="n">
        <f aca="false">O69+Q69</f>
        <v>2167.6511009735</v>
      </c>
    </row>
    <row r="70" customFormat="false" ht="15" hidden="false" customHeight="false" outlineLevel="0" collapsed="false">
      <c r="A70" s="2" t="s">
        <v>41</v>
      </c>
      <c r="B70" s="2" t="s">
        <v>40</v>
      </c>
      <c r="C70" s="12" t="n">
        <v>11</v>
      </c>
      <c r="D70" s="12" t="n">
        <v>2034</v>
      </c>
      <c r="E70" s="4" t="n">
        <f aca="false">INDEX(驱动复算!A12:X12,1,情景参数!B3)</f>
        <v>14781.69</v>
      </c>
      <c r="F70" s="4" t="n">
        <f aca="false">E70*(1-情景参数!D3)</f>
        <v>14781.69</v>
      </c>
      <c r="G70" s="4" t="n">
        <f aca="false">IF(情景参数!E3="原表",驱动复算!U12-驱动复算!W12,驱动复算!P12)</f>
        <v>8782.2546409708</v>
      </c>
      <c r="H70" s="4" t="n">
        <f aca="false">IF(情景参数!E3="原表",驱动复算!W12,F70*情景参数!C3)</f>
        <v>295.6338</v>
      </c>
      <c r="I70" s="4" t="n">
        <f aca="false">IF(情景参数!E3="原表",驱动复算!U12,G70+H70)</f>
        <v>9077.8884409708</v>
      </c>
      <c r="J70" s="4" t="n">
        <f aca="false">(F70-I70)*(1-情景参数!F3)</f>
        <v>5703.80155902921</v>
      </c>
      <c r="K70" s="4" t="n">
        <f aca="false">偿债原表!F13</f>
        <v>0</v>
      </c>
      <c r="L70" s="4" t="n">
        <f aca="false">偿债原表!G13</f>
        <v>673.2</v>
      </c>
      <c r="M70" s="4" t="n">
        <f aca="false">K70+L70</f>
        <v>673.2</v>
      </c>
      <c r="N70" s="4" t="n">
        <f aca="false">J70-M70</f>
        <v>5030.60155902921</v>
      </c>
      <c r="O70" s="4" t="n">
        <f aca="false">O69+N70</f>
        <v>581.041060002704</v>
      </c>
      <c r="P70" s="4" t="n">
        <f aca="false">MAX(0,-(R69+N70))</f>
        <v>0</v>
      </c>
      <c r="Q70" s="4" t="n">
        <f aca="false">Q69+P70</f>
        <v>6617.2116</v>
      </c>
      <c r="R70" s="4" t="n">
        <f aca="false">O70+Q70</f>
        <v>7198.2526600027</v>
      </c>
    </row>
    <row r="71" customFormat="false" ht="15" hidden="false" customHeight="false" outlineLevel="0" collapsed="false">
      <c r="A71" s="2" t="s">
        <v>41</v>
      </c>
      <c r="B71" s="2" t="s">
        <v>40</v>
      </c>
      <c r="C71" s="12" t="n">
        <v>12</v>
      </c>
      <c r="D71" s="12" t="n">
        <v>2035</v>
      </c>
      <c r="E71" s="4" t="n">
        <f aca="false">INDEX(驱动复算!A13:X13,1,情景参数!B3)</f>
        <v>15455.6</v>
      </c>
      <c r="F71" s="4" t="n">
        <f aca="false">E71*(1-情景参数!D3)</f>
        <v>15455.6</v>
      </c>
      <c r="G71" s="4" t="n">
        <f aca="false">IF(情景参数!E3="原表",驱动复算!U13-驱动复算!W13,驱动复算!P13)</f>
        <v>9045.72228019992</v>
      </c>
      <c r="H71" s="4" t="n">
        <f aca="false">IF(情景参数!E3="原表",驱动复算!W13,F71*情景参数!C3)</f>
        <v>309.112</v>
      </c>
      <c r="I71" s="4" t="n">
        <f aca="false">IF(情景参数!E3="原表",驱动复算!U13,G71+H71)</f>
        <v>9354.83428019992</v>
      </c>
      <c r="J71" s="4" t="n">
        <f aca="false">(F71-I71)*(1-情景参数!F3)</f>
        <v>6100.76571980008</v>
      </c>
      <c r="K71" s="4" t="n">
        <f aca="false">偿债原表!F14</f>
        <v>0</v>
      </c>
      <c r="L71" s="4" t="n">
        <f aca="false">偿债原表!G14</f>
        <v>673.2</v>
      </c>
      <c r="M71" s="4" t="n">
        <f aca="false">K71+L71</f>
        <v>673.2</v>
      </c>
      <c r="N71" s="4" t="n">
        <f aca="false">J71-M71</f>
        <v>5427.56571980008</v>
      </c>
      <c r="O71" s="4" t="n">
        <f aca="false">O70+N71</f>
        <v>6008.60677980279</v>
      </c>
      <c r="P71" s="4" t="n">
        <f aca="false">MAX(0,-(R70+N71))</f>
        <v>0</v>
      </c>
      <c r="Q71" s="4" t="n">
        <f aca="false">Q70+P71</f>
        <v>6617.2116</v>
      </c>
      <c r="R71" s="4" t="n">
        <f aca="false">O71+Q71</f>
        <v>12625.8183798028</v>
      </c>
    </row>
    <row r="72" customFormat="false" ht="15" hidden="false" customHeight="false" outlineLevel="0" collapsed="false">
      <c r="A72" s="2" t="s">
        <v>41</v>
      </c>
      <c r="B72" s="2" t="s">
        <v>40</v>
      </c>
      <c r="C72" s="12" t="n">
        <v>13</v>
      </c>
      <c r="D72" s="12" t="n">
        <v>2036</v>
      </c>
      <c r="E72" s="4" t="n">
        <f aca="false">INDEX(驱动复算!A14:X14,1,情景参数!B3)</f>
        <v>16163.21</v>
      </c>
      <c r="F72" s="4" t="n">
        <f aca="false">E72*(1-情景参数!D3)</f>
        <v>16163.21</v>
      </c>
      <c r="G72" s="4" t="n">
        <f aca="false">IF(情景参数!E3="原表",驱动复算!U14-驱动复算!W14,驱动复算!P14)</f>
        <v>9317.09394860592</v>
      </c>
      <c r="H72" s="4" t="n">
        <f aca="false">IF(情景参数!E3="原表",驱动复算!W14,F72*情景参数!C3)</f>
        <v>323.2642</v>
      </c>
      <c r="I72" s="4" t="n">
        <f aca="false">IF(情景参数!E3="原表",驱动复算!U14,G72+H72)</f>
        <v>9640.35814860592</v>
      </c>
      <c r="J72" s="4" t="n">
        <f aca="false">(F72-I72)*(1-情景参数!F3)</f>
        <v>6522.85185139408</v>
      </c>
      <c r="K72" s="4" t="n">
        <f aca="false">偿债原表!F15</f>
        <v>0</v>
      </c>
      <c r="L72" s="4" t="n">
        <f aca="false">偿债原表!G15</f>
        <v>673.2</v>
      </c>
      <c r="M72" s="4" t="n">
        <f aca="false">K72+L72</f>
        <v>673.2</v>
      </c>
      <c r="N72" s="4" t="n">
        <f aca="false">J72-M72</f>
        <v>5849.65185139408</v>
      </c>
      <c r="O72" s="4" t="n">
        <f aca="false">O71+N72</f>
        <v>11858.2586311969</v>
      </c>
      <c r="P72" s="4" t="n">
        <f aca="false">MAX(0,-(R71+N72))</f>
        <v>0</v>
      </c>
      <c r="Q72" s="4" t="n">
        <f aca="false">Q71+P72</f>
        <v>6617.2116</v>
      </c>
      <c r="R72" s="4" t="n">
        <f aca="false">O72+Q72</f>
        <v>18475.4702311969</v>
      </c>
    </row>
    <row r="73" customFormat="false" ht="15" hidden="false" customHeight="false" outlineLevel="0" collapsed="false">
      <c r="A73" s="2" t="s">
        <v>41</v>
      </c>
      <c r="B73" s="2" t="s">
        <v>40</v>
      </c>
      <c r="C73" s="12" t="n">
        <v>14</v>
      </c>
      <c r="D73" s="12" t="n">
        <v>2037</v>
      </c>
      <c r="E73" s="4" t="n">
        <f aca="false">INDEX(驱动复算!A15:X15,1,情景参数!B3)</f>
        <v>16906.2</v>
      </c>
      <c r="F73" s="4" t="n">
        <f aca="false">E73*(1-情景参数!D3)</f>
        <v>16906.2</v>
      </c>
      <c r="G73" s="4" t="n">
        <f aca="false">IF(情景参数!E3="原表",驱动复算!U15-驱动复算!W15,驱动复算!P15)</f>
        <v>9596.6067670641</v>
      </c>
      <c r="H73" s="4" t="n">
        <f aca="false">IF(情景参数!E3="原表",驱动复算!W15,F73*情景参数!C3)</f>
        <v>338.124</v>
      </c>
      <c r="I73" s="4" t="n">
        <f aca="false">IF(情景参数!E3="原表",驱动复算!U15,G73+H73)</f>
        <v>9934.7307670641</v>
      </c>
      <c r="J73" s="4" t="n">
        <f aca="false">(F73-I73)*(1-情景参数!F3)</f>
        <v>6971.4692329359</v>
      </c>
      <c r="K73" s="4" t="n">
        <f aca="false">偿债原表!F16</f>
        <v>1000</v>
      </c>
      <c r="L73" s="4" t="n">
        <f aca="false">偿债原表!G16</f>
        <v>673.2</v>
      </c>
      <c r="M73" s="4" t="n">
        <f aca="false">K73+L73</f>
        <v>1673.2</v>
      </c>
      <c r="N73" s="4" t="n">
        <f aca="false">J73-M73</f>
        <v>5298.2692329359</v>
      </c>
      <c r="O73" s="4" t="n">
        <f aca="false">O72+N73</f>
        <v>17156.5278641328</v>
      </c>
      <c r="P73" s="4" t="n">
        <f aca="false">MAX(0,-(R72+N73))</f>
        <v>0</v>
      </c>
      <c r="Q73" s="4" t="n">
        <f aca="false">Q72+P73</f>
        <v>6617.2116</v>
      </c>
      <c r="R73" s="4" t="n">
        <f aca="false">O73+Q73</f>
        <v>23773.7394641328</v>
      </c>
    </row>
    <row r="74" customFormat="false" ht="15" hidden="false" customHeight="false" outlineLevel="0" collapsed="false">
      <c r="A74" s="2" t="s">
        <v>41</v>
      </c>
      <c r="B74" s="2" t="s">
        <v>40</v>
      </c>
      <c r="C74" s="12" t="n">
        <v>15</v>
      </c>
      <c r="D74" s="12" t="n">
        <v>2038</v>
      </c>
      <c r="E74" s="4" t="n">
        <f aca="false">INDEX(驱动复算!A16:X16,1,情景参数!B3)</f>
        <v>17546.68</v>
      </c>
      <c r="F74" s="4" t="n">
        <f aca="false">E74*(1-情景参数!D3)</f>
        <v>17546.68</v>
      </c>
      <c r="G74" s="4" t="n">
        <f aca="false">IF(情景参数!E3="原表",驱动复算!U16-驱动复算!W16,驱动复算!P16)</f>
        <v>9884.50497007602</v>
      </c>
      <c r="H74" s="4" t="n">
        <f aca="false">IF(情景参数!E3="原表",驱动复算!W16,F74*情景参数!C3)</f>
        <v>350.9336</v>
      </c>
      <c r="I74" s="4" t="n">
        <f aca="false">IF(情景参数!E3="原表",驱动复算!U16,G74+H74)</f>
        <v>10235.438570076</v>
      </c>
      <c r="J74" s="4" t="n">
        <f aca="false">(F74-I74)*(1-情景参数!F3)</f>
        <v>7311.24142992398</v>
      </c>
      <c r="K74" s="4" t="n">
        <f aca="false">偿债原表!F17</f>
        <v>0</v>
      </c>
      <c r="L74" s="4" t="n">
        <f aca="false">偿债原表!G17</f>
        <v>644</v>
      </c>
      <c r="M74" s="4" t="n">
        <f aca="false">K74+L74</f>
        <v>644</v>
      </c>
      <c r="N74" s="4" t="n">
        <f aca="false">J74-M74</f>
        <v>6667.24142992398</v>
      </c>
      <c r="O74" s="4" t="n">
        <f aca="false">O73+N74</f>
        <v>23823.7692940568</v>
      </c>
      <c r="P74" s="4" t="n">
        <f aca="false">MAX(0,-(R73+N74))</f>
        <v>0</v>
      </c>
      <c r="Q74" s="4" t="n">
        <f aca="false">Q73+P74</f>
        <v>6617.2116</v>
      </c>
      <c r="R74" s="4" t="n">
        <f aca="false">O74+Q74</f>
        <v>30440.9808940568</v>
      </c>
    </row>
    <row r="75" customFormat="false" ht="15" hidden="false" customHeight="false" outlineLevel="0" collapsed="false">
      <c r="A75" s="2" t="s">
        <v>41</v>
      </c>
      <c r="B75" s="2" t="s">
        <v>40</v>
      </c>
      <c r="C75" s="12" t="n">
        <v>16</v>
      </c>
      <c r="D75" s="12" t="n">
        <v>2039</v>
      </c>
      <c r="E75" s="4" t="n">
        <f aca="false">INDEX(驱动复算!A17:X17,1,情景参数!B3)</f>
        <v>17864.98</v>
      </c>
      <c r="F75" s="4" t="n">
        <f aca="false">E75*(1-情景参数!D3)</f>
        <v>17864.98</v>
      </c>
      <c r="G75" s="4" t="n">
        <f aca="false">IF(情景参数!E3="原表",驱动复算!U17-驱动复算!W17,驱动复算!P17)</f>
        <v>10181.0401191783</v>
      </c>
      <c r="H75" s="4" t="n">
        <f aca="false">IF(情景参数!E3="原表",驱动复算!W17,F75*情景参数!C3)</f>
        <v>357.2996</v>
      </c>
      <c r="I75" s="4" t="n">
        <f aca="false">IF(情景参数!E3="原表",驱动复算!U17,G75+H75)</f>
        <v>10538.3397191783</v>
      </c>
      <c r="J75" s="4" t="n">
        <f aca="false">(F75-I75)*(1-情景参数!F3)</f>
        <v>7326.6402808217</v>
      </c>
      <c r="K75" s="4" t="n">
        <f aca="false">偿债原表!F18</f>
        <v>0</v>
      </c>
      <c r="L75" s="4" t="n">
        <f aca="false">偿债原表!G18</f>
        <v>644</v>
      </c>
      <c r="M75" s="4" t="n">
        <f aca="false">K75+L75</f>
        <v>644</v>
      </c>
      <c r="N75" s="4" t="n">
        <f aca="false">J75-M75</f>
        <v>6682.6402808217</v>
      </c>
      <c r="O75" s="4" t="n">
        <f aca="false">O74+N75</f>
        <v>30506.4095748785</v>
      </c>
      <c r="P75" s="4" t="n">
        <f aca="false">MAX(0,-(R74+N75))</f>
        <v>0</v>
      </c>
      <c r="Q75" s="4" t="n">
        <f aca="false">Q74+P75</f>
        <v>6617.2116</v>
      </c>
      <c r="R75" s="4" t="n">
        <f aca="false">O75+Q75</f>
        <v>37123.6211748785</v>
      </c>
    </row>
    <row r="76" customFormat="false" ht="15" hidden="false" customHeight="false" outlineLevel="0" collapsed="false">
      <c r="A76" s="2" t="s">
        <v>41</v>
      </c>
      <c r="B76" s="2" t="s">
        <v>40</v>
      </c>
      <c r="C76" s="12" t="n">
        <v>17</v>
      </c>
      <c r="D76" s="12" t="n">
        <v>2040</v>
      </c>
      <c r="E76" s="4" t="n">
        <f aca="false">INDEX(驱动复算!A18:X18,1,情景参数!B3)</f>
        <v>18189.64</v>
      </c>
      <c r="F76" s="4" t="n">
        <f aca="false">E76*(1-情景参数!D3)</f>
        <v>18189.64</v>
      </c>
      <c r="G76" s="4" t="n">
        <f aca="false">IF(情景参数!E3="原表",驱动复算!U18-驱动复算!W18,驱动复算!P18)</f>
        <v>10486.4713227536</v>
      </c>
      <c r="H76" s="4" t="n">
        <f aca="false">IF(情景参数!E3="原表",驱动复算!W18,F76*情景参数!C3)</f>
        <v>363.7928</v>
      </c>
      <c r="I76" s="4" t="n">
        <f aca="false">IF(情景参数!E3="原表",驱动复算!U18,G76+H76)</f>
        <v>10850.2641227536</v>
      </c>
      <c r="J76" s="4" t="n">
        <f aca="false">(F76-I76)*(1-情景参数!F3)</f>
        <v>7339.37587724635</v>
      </c>
      <c r="K76" s="4" t="n">
        <f aca="false">偿债原表!F19</f>
        <v>0</v>
      </c>
      <c r="L76" s="4" t="n">
        <f aca="false">偿债原表!G19</f>
        <v>644</v>
      </c>
      <c r="M76" s="4" t="n">
        <f aca="false">K76+L76</f>
        <v>644</v>
      </c>
      <c r="N76" s="4" t="n">
        <f aca="false">J76-M76</f>
        <v>6695.37587724635</v>
      </c>
      <c r="O76" s="4" t="n">
        <f aca="false">O75+N76</f>
        <v>37201.7854521248</v>
      </c>
      <c r="P76" s="4" t="n">
        <f aca="false">MAX(0,-(R75+N76))</f>
        <v>0</v>
      </c>
      <c r="Q76" s="4" t="n">
        <f aca="false">Q75+P76</f>
        <v>6617.2116</v>
      </c>
      <c r="R76" s="4" t="n">
        <f aca="false">O76+Q76</f>
        <v>43818.9970521248</v>
      </c>
    </row>
    <row r="77" customFormat="false" ht="15" hidden="false" customHeight="false" outlineLevel="0" collapsed="false">
      <c r="A77" s="2" t="s">
        <v>41</v>
      </c>
      <c r="B77" s="2" t="s">
        <v>40</v>
      </c>
      <c r="C77" s="12" t="n">
        <v>18</v>
      </c>
      <c r="D77" s="12" t="n">
        <v>2041</v>
      </c>
      <c r="E77" s="4" t="n">
        <f aca="false">INDEX(驱动复算!A19:X19,1,情景参数!B3)</f>
        <v>18520.8</v>
      </c>
      <c r="F77" s="4" t="n">
        <f aca="false">E77*(1-情景参数!D3)</f>
        <v>18520.8</v>
      </c>
      <c r="G77" s="4" t="n">
        <f aca="false">IF(情景参数!E3="原表",驱动复算!U19-驱动复算!W19,驱动复算!P19)</f>
        <v>10801.0654624363</v>
      </c>
      <c r="H77" s="4" t="n">
        <f aca="false">IF(情景参数!E3="原表",驱动复算!W19,F77*情景参数!C3)</f>
        <v>370.416</v>
      </c>
      <c r="I77" s="4" t="n">
        <f aca="false">IF(情景参数!E3="原表",驱动复算!U19,G77+H77)</f>
        <v>11171.4814624363</v>
      </c>
      <c r="J77" s="4" t="n">
        <f aca="false">(F77-I77)*(1-情景参数!F3)</f>
        <v>7349.31853756374</v>
      </c>
      <c r="K77" s="4" t="n">
        <f aca="false">偿债原表!F20</f>
        <v>20000</v>
      </c>
      <c r="L77" s="4" t="n">
        <f aca="false">偿债原表!G20</f>
        <v>644</v>
      </c>
      <c r="M77" s="4" t="n">
        <f aca="false">K77+L77</f>
        <v>20644</v>
      </c>
      <c r="N77" s="4" t="n">
        <f aca="false">J77-M77</f>
        <v>-13294.6814624363</v>
      </c>
      <c r="O77" s="4" t="n">
        <f aca="false">O76+N77</f>
        <v>23907.1039896885</v>
      </c>
      <c r="P77" s="4" t="n">
        <f aca="false">MAX(0,-(R76+N77))</f>
        <v>0</v>
      </c>
      <c r="Q77" s="4" t="n">
        <f aca="false">Q76+P77</f>
        <v>6617.2116</v>
      </c>
      <c r="R77" s="4" t="n">
        <f aca="false">O77+Q77</f>
        <v>30524.3155896885</v>
      </c>
    </row>
    <row r="78" customFormat="false" ht="15" hidden="false" customHeight="false" outlineLevel="0" collapsed="false">
      <c r="A78" s="2" t="s">
        <v>42</v>
      </c>
      <c r="B78" s="2" t="s">
        <v>39</v>
      </c>
      <c r="C78" s="12" t="n">
        <v>0</v>
      </c>
      <c r="D78" s="13" t="s">
        <v>248</v>
      </c>
      <c r="E78" s="4" t="n">
        <f aca="false">0</f>
        <v>0</v>
      </c>
      <c r="F78" s="4" t="n">
        <f aca="false">E78*(1-情景参数!D4)</f>
        <v>0</v>
      </c>
      <c r="G78" s="4" t="n">
        <f aca="false">0</f>
        <v>0</v>
      </c>
      <c r="H78" s="4" t="n">
        <f aca="false">0</f>
        <v>0</v>
      </c>
      <c r="I78" s="4" t="n">
        <f aca="false">0</f>
        <v>0</v>
      </c>
      <c r="J78" s="4" t="n">
        <f aca="false">(F78-I78)*(1-情景参数!F4)</f>
        <v>0</v>
      </c>
      <c r="K78" s="4" t="n">
        <f aca="false">偿债原表!C2</f>
        <v>0</v>
      </c>
      <c r="L78" s="4" t="n">
        <f aca="false">偿债原表!D2</f>
        <v>1374.2</v>
      </c>
      <c r="M78" s="4" t="n">
        <f aca="false">K78+L78</f>
        <v>1374.2</v>
      </c>
      <c r="N78" s="4" t="n">
        <f aca="false">J78-M78</f>
        <v>-1374.2</v>
      </c>
      <c r="O78" s="4" t="n">
        <f aca="false">N78</f>
        <v>-1374.2</v>
      </c>
      <c r="P78" s="4" t="n">
        <f aca="false">MAX(0,-N78)</f>
        <v>1374.2</v>
      </c>
      <c r="Q78" s="4" t="n">
        <f aca="false">P78</f>
        <v>1374.2</v>
      </c>
      <c r="R78" s="4" t="n">
        <f aca="false">O78+Q78</f>
        <v>0</v>
      </c>
    </row>
    <row r="79" customFormat="false" ht="15" hidden="false" customHeight="false" outlineLevel="0" collapsed="false">
      <c r="A79" s="2" t="s">
        <v>42</v>
      </c>
      <c r="B79" s="2" t="s">
        <v>39</v>
      </c>
      <c r="C79" s="12" t="n">
        <v>1</v>
      </c>
      <c r="D79" s="12" t="n">
        <v>2024</v>
      </c>
      <c r="E79" s="4" t="n">
        <f aca="false">INDEX(驱动复算!A2:X2,1,情景参数!B4)</f>
        <v>0</v>
      </c>
      <c r="F79" s="4" t="n">
        <f aca="false">E79*(1-情景参数!D4)</f>
        <v>0</v>
      </c>
      <c r="G79" s="4" t="n">
        <f aca="false">IF(情景参数!E4="原表",驱动复算!U2-驱动复算!W2,驱动复算!P2)</f>
        <v>0</v>
      </c>
      <c r="H79" s="4" t="n">
        <f aca="false">IF(情景参数!E4="原表",驱动复算!W2,F79*情景参数!C4)</f>
        <v>0</v>
      </c>
      <c r="I79" s="4" t="n">
        <f aca="false">IF(情景参数!E4="原表",驱动复算!U2,G79+H79)</f>
        <v>0</v>
      </c>
      <c r="J79" s="4" t="n">
        <f aca="false">(F79-I79)*(1-情景参数!F4)</f>
        <v>0</v>
      </c>
      <c r="K79" s="4" t="n">
        <f aca="false">偿债原表!C3</f>
        <v>0</v>
      </c>
      <c r="L79" s="4" t="n">
        <f aca="false">偿债原表!D3</f>
        <v>1093.2</v>
      </c>
      <c r="M79" s="4" t="n">
        <f aca="false">K79+L79</f>
        <v>1093.2</v>
      </c>
      <c r="N79" s="4" t="n">
        <f aca="false">J79-M79</f>
        <v>-1093.2</v>
      </c>
      <c r="O79" s="4" t="n">
        <f aca="false">O78+N79</f>
        <v>-2467.4</v>
      </c>
      <c r="P79" s="4" t="n">
        <f aca="false">MAX(0,-(R78+N79))</f>
        <v>1093.2</v>
      </c>
      <c r="Q79" s="4" t="n">
        <f aca="false">Q78+P79</f>
        <v>2467.4</v>
      </c>
      <c r="R79" s="4" t="n">
        <f aca="false">O79+Q79</f>
        <v>0</v>
      </c>
    </row>
    <row r="80" customFormat="false" ht="15" hidden="false" customHeight="false" outlineLevel="0" collapsed="false">
      <c r="A80" s="2" t="s">
        <v>42</v>
      </c>
      <c r="B80" s="2" t="s">
        <v>39</v>
      </c>
      <c r="C80" s="12" t="n">
        <v>2</v>
      </c>
      <c r="D80" s="12" t="n">
        <v>2025</v>
      </c>
      <c r="E80" s="4" t="n">
        <f aca="false">INDEX(驱动复算!A3:X3,1,情景参数!B4)</f>
        <v>0</v>
      </c>
      <c r="F80" s="4" t="n">
        <f aca="false">E80*(1-情景参数!D4)</f>
        <v>0</v>
      </c>
      <c r="G80" s="4" t="n">
        <f aca="false">IF(情景参数!E4="原表",驱动复算!U3-驱动复算!W3,驱动复算!P3)</f>
        <v>0</v>
      </c>
      <c r="H80" s="4" t="n">
        <f aca="false">IF(情景参数!E4="原表",驱动复算!W3,F80*情景参数!C4)</f>
        <v>0</v>
      </c>
      <c r="I80" s="4" t="n">
        <f aca="false">IF(情景参数!E4="原表",驱动复算!U3,G80+H80)</f>
        <v>0</v>
      </c>
      <c r="J80" s="4" t="n">
        <f aca="false">(F80-I80)*(1-情景参数!F4)</f>
        <v>0</v>
      </c>
      <c r="K80" s="4" t="n">
        <f aca="false">偿债原表!C4</f>
        <v>0</v>
      </c>
      <c r="L80" s="4" t="n">
        <f aca="false">偿债原表!D4</f>
        <v>1093.2</v>
      </c>
      <c r="M80" s="4" t="n">
        <f aca="false">K80+L80</f>
        <v>1093.2</v>
      </c>
      <c r="N80" s="4" t="n">
        <f aca="false">J80-M80</f>
        <v>-1093.2</v>
      </c>
      <c r="O80" s="4" t="n">
        <f aca="false">O79+N80</f>
        <v>-3560.6</v>
      </c>
      <c r="P80" s="4" t="n">
        <f aca="false">MAX(0,-(R79+N80))</f>
        <v>1093.2</v>
      </c>
      <c r="Q80" s="4" t="n">
        <f aca="false">Q79+P80</f>
        <v>3560.6</v>
      </c>
      <c r="R80" s="4" t="n">
        <f aca="false">O80+Q80</f>
        <v>0</v>
      </c>
    </row>
    <row r="81" customFormat="false" ht="15" hidden="false" customHeight="false" outlineLevel="0" collapsed="false">
      <c r="A81" s="2" t="s">
        <v>42</v>
      </c>
      <c r="B81" s="2" t="s">
        <v>39</v>
      </c>
      <c r="C81" s="12" t="n">
        <v>3</v>
      </c>
      <c r="D81" s="12" t="n">
        <v>2026</v>
      </c>
      <c r="E81" s="4" t="n">
        <f aca="false">INDEX(驱动复算!A4:X4,1,情景参数!B4)</f>
        <v>0</v>
      </c>
      <c r="F81" s="4" t="n">
        <f aca="false">E81*(1-情景参数!D4)</f>
        <v>0</v>
      </c>
      <c r="G81" s="4" t="n">
        <f aca="false">IF(情景参数!E4="原表",驱动复算!U4-驱动复算!W4,驱动复算!P4)</f>
        <v>0</v>
      </c>
      <c r="H81" s="4" t="n">
        <f aca="false">IF(情景参数!E4="原表",驱动复算!W4,F81*情景参数!C4)</f>
        <v>0</v>
      </c>
      <c r="I81" s="4" t="n">
        <f aca="false">IF(情景参数!E4="原表",驱动复算!U4,G81+H81)</f>
        <v>0</v>
      </c>
      <c r="J81" s="4" t="n">
        <f aca="false">(F81-I81)*(1-情景参数!F4)</f>
        <v>0</v>
      </c>
      <c r="K81" s="4" t="n">
        <f aca="false">偿债原表!C5</f>
        <v>0</v>
      </c>
      <c r="L81" s="4" t="n">
        <f aca="false">偿债原表!D5</f>
        <v>1093.2</v>
      </c>
      <c r="M81" s="4" t="n">
        <f aca="false">K81+L81</f>
        <v>1093.2</v>
      </c>
      <c r="N81" s="4" t="n">
        <f aca="false">J81-M81</f>
        <v>-1093.2</v>
      </c>
      <c r="O81" s="4" t="n">
        <f aca="false">O80+N81</f>
        <v>-4653.8</v>
      </c>
      <c r="P81" s="4" t="n">
        <f aca="false">MAX(0,-(R80+N81))</f>
        <v>1093.2</v>
      </c>
      <c r="Q81" s="4" t="n">
        <f aca="false">Q80+P81</f>
        <v>4653.8</v>
      </c>
      <c r="R81" s="4" t="n">
        <f aca="false">O81+Q81</f>
        <v>0</v>
      </c>
    </row>
    <row r="82" customFormat="false" ht="15" hidden="false" customHeight="false" outlineLevel="0" collapsed="false">
      <c r="A82" s="2" t="s">
        <v>42</v>
      </c>
      <c r="B82" s="2" t="s">
        <v>39</v>
      </c>
      <c r="C82" s="12" t="n">
        <v>4</v>
      </c>
      <c r="D82" s="12" t="n">
        <v>2027</v>
      </c>
      <c r="E82" s="4" t="n">
        <f aca="false">INDEX(驱动复算!A5:X5,1,情景参数!B4)</f>
        <v>0</v>
      </c>
      <c r="F82" s="4" t="n">
        <f aca="false">E82*(1-情景参数!D4)</f>
        <v>0</v>
      </c>
      <c r="G82" s="4" t="n">
        <f aca="false">IF(情景参数!E4="原表",驱动复算!U5-驱动复算!W5,驱动复算!P5)</f>
        <v>0</v>
      </c>
      <c r="H82" s="4" t="n">
        <f aca="false">IF(情景参数!E4="原表",驱动复算!W5,F82*情景参数!C4)</f>
        <v>0</v>
      </c>
      <c r="I82" s="4" t="n">
        <f aca="false">IF(情景参数!E4="原表",驱动复算!U5,G82+H82)</f>
        <v>0</v>
      </c>
      <c r="J82" s="4" t="n">
        <f aca="false">(F82-I82)*(1-情景参数!F4)</f>
        <v>0</v>
      </c>
      <c r="K82" s="4" t="n">
        <f aca="false">偿债原表!C6</f>
        <v>0</v>
      </c>
      <c r="L82" s="4" t="n">
        <f aca="false">偿债原表!D6</f>
        <v>1093.2</v>
      </c>
      <c r="M82" s="4" t="n">
        <f aca="false">K82+L82</f>
        <v>1093.2</v>
      </c>
      <c r="N82" s="4" t="n">
        <f aca="false">J82-M82</f>
        <v>-1093.2</v>
      </c>
      <c r="O82" s="4" t="n">
        <f aca="false">O81+N82</f>
        <v>-5747</v>
      </c>
      <c r="P82" s="4" t="n">
        <f aca="false">MAX(0,-(R81+N82))</f>
        <v>1093.2</v>
      </c>
      <c r="Q82" s="4" t="n">
        <f aca="false">Q81+P82</f>
        <v>5747</v>
      </c>
      <c r="R82" s="4" t="n">
        <f aca="false">O82+Q82</f>
        <v>0</v>
      </c>
    </row>
    <row r="83" customFormat="false" ht="15" hidden="false" customHeight="false" outlineLevel="0" collapsed="false">
      <c r="A83" s="2" t="s">
        <v>42</v>
      </c>
      <c r="B83" s="2" t="s">
        <v>39</v>
      </c>
      <c r="C83" s="12" t="n">
        <v>5</v>
      </c>
      <c r="D83" s="12" t="n">
        <v>2028</v>
      </c>
      <c r="E83" s="4" t="n">
        <f aca="false">INDEX(驱动复算!A6:X6,1,情景参数!B4)</f>
        <v>9234.58</v>
      </c>
      <c r="F83" s="4" t="n">
        <f aca="false">E83*(1-情景参数!D4)</f>
        <v>9234.58</v>
      </c>
      <c r="G83" s="4" t="n">
        <f aca="false">IF(情景参数!E4="原表",驱动复算!U6-驱动复算!W6,驱动复算!P6)</f>
        <v>7355</v>
      </c>
      <c r="H83" s="4" t="n">
        <f aca="false">IF(情景参数!E4="原表",驱动复算!W6,F83*情景参数!C4)</f>
        <v>461.729</v>
      </c>
      <c r="I83" s="4" t="n">
        <f aca="false">IF(情景参数!E4="原表",驱动复算!U6,G83+H83)</f>
        <v>7816.729</v>
      </c>
      <c r="J83" s="4" t="n">
        <f aca="false">(F83-I83)*(1-情景参数!F4)</f>
        <v>1417.851</v>
      </c>
      <c r="K83" s="4" t="n">
        <f aca="false">偿债原表!C7</f>
        <v>11000</v>
      </c>
      <c r="L83" s="4" t="n">
        <f aca="false">偿债原表!D7</f>
        <v>1093.2</v>
      </c>
      <c r="M83" s="4" t="n">
        <f aca="false">K83+L83</f>
        <v>12093.2</v>
      </c>
      <c r="N83" s="4" t="n">
        <f aca="false">J83-M83</f>
        <v>-10675.349</v>
      </c>
      <c r="O83" s="4" t="n">
        <f aca="false">O82+N83</f>
        <v>-16422.349</v>
      </c>
      <c r="P83" s="4" t="n">
        <f aca="false">MAX(0,-(R82+N83))</f>
        <v>10675.349</v>
      </c>
      <c r="Q83" s="4" t="n">
        <f aca="false">Q82+P83</f>
        <v>16422.349</v>
      </c>
      <c r="R83" s="4" t="n">
        <f aca="false">O83+Q83</f>
        <v>0</v>
      </c>
    </row>
    <row r="84" customFormat="false" ht="15" hidden="false" customHeight="false" outlineLevel="0" collapsed="false">
      <c r="A84" s="2" t="s">
        <v>42</v>
      </c>
      <c r="B84" s="2" t="s">
        <v>39</v>
      </c>
      <c r="C84" s="12" t="n">
        <v>6</v>
      </c>
      <c r="D84" s="12" t="n">
        <v>2029</v>
      </c>
      <c r="E84" s="4" t="n">
        <f aca="false">INDEX(驱动复算!A7:X7,1,情景参数!B4)</f>
        <v>10123.19</v>
      </c>
      <c r="F84" s="4" t="n">
        <f aca="false">E84*(1-情景参数!D4)</f>
        <v>10123.19</v>
      </c>
      <c r="G84" s="4" t="n">
        <f aca="false">IF(情景参数!E4="原表",驱动复算!U7-驱动复算!W7,驱动复算!P7)</f>
        <v>7575.65</v>
      </c>
      <c r="H84" s="4" t="n">
        <f aca="false">IF(情景参数!E4="原表",驱动复算!W7,F84*情景参数!C4)</f>
        <v>506.1595</v>
      </c>
      <c r="I84" s="4" t="n">
        <f aca="false">IF(情景参数!E4="原表",驱动复算!U7,G84+H84)</f>
        <v>8081.8095</v>
      </c>
      <c r="J84" s="4" t="n">
        <f aca="false">(F84-I84)*(1-情景参数!F4)</f>
        <v>2041.3805</v>
      </c>
      <c r="K84" s="4" t="n">
        <f aca="false">偿债原表!C8</f>
        <v>0</v>
      </c>
      <c r="L84" s="4" t="n">
        <f aca="false">偿债原表!D8</f>
        <v>730.2</v>
      </c>
      <c r="M84" s="4" t="n">
        <f aca="false">K84+L84</f>
        <v>730.2</v>
      </c>
      <c r="N84" s="4" t="n">
        <f aca="false">J84-M84</f>
        <v>1311.1805</v>
      </c>
      <c r="O84" s="4" t="n">
        <f aca="false">O83+N84</f>
        <v>-15111.1685</v>
      </c>
      <c r="P84" s="4" t="n">
        <f aca="false">MAX(0,-(R83+N84))</f>
        <v>0</v>
      </c>
      <c r="Q84" s="4" t="n">
        <f aca="false">Q83+P84</f>
        <v>16422.349</v>
      </c>
      <c r="R84" s="4" t="n">
        <f aca="false">O84+Q84</f>
        <v>1311.1805</v>
      </c>
    </row>
    <row r="85" customFormat="false" ht="15" hidden="false" customHeight="false" outlineLevel="0" collapsed="false">
      <c r="A85" s="2" t="s">
        <v>42</v>
      </c>
      <c r="B85" s="2" t="s">
        <v>39</v>
      </c>
      <c r="C85" s="12" t="n">
        <v>7</v>
      </c>
      <c r="D85" s="12" t="n">
        <v>2030</v>
      </c>
      <c r="E85" s="4" t="n">
        <f aca="false">INDEX(驱动复算!A8:X8,1,情景参数!B4)</f>
        <v>11041.69</v>
      </c>
      <c r="F85" s="4" t="n">
        <f aca="false">E85*(1-情景参数!D4)</f>
        <v>11041.69</v>
      </c>
      <c r="G85" s="4" t="n">
        <f aca="false">IF(情景参数!E4="原表",驱动复算!U8-驱动复算!W8,驱动复算!P8)</f>
        <v>7802.9195</v>
      </c>
      <c r="H85" s="4" t="n">
        <f aca="false">IF(情景参数!E4="原表",驱动复算!W8,F85*情景参数!C4)</f>
        <v>552.0845</v>
      </c>
      <c r="I85" s="4" t="n">
        <f aca="false">IF(情景参数!E4="原表",驱动复算!U8,G85+H85)</f>
        <v>8355.004</v>
      </c>
      <c r="J85" s="4" t="n">
        <f aca="false">(F85-I85)*(1-情景参数!F4)</f>
        <v>2686.686</v>
      </c>
      <c r="K85" s="4" t="n">
        <f aca="false">偿债原表!C9</f>
        <v>0</v>
      </c>
      <c r="L85" s="4" t="n">
        <f aca="false">偿债原表!D9</f>
        <v>730.2</v>
      </c>
      <c r="M85" s="4" t="n">
        <f aca="false">K85+L85</f>
        <v>730.2</v>
      </c>
      <c r="N85" s="4" t="n">
        <f aca="false">J85-M85</f>
        <v>1956.486</v>
      </c>
      <c r="O85" s="4" t="n">
        <f aca="false">O84+N85</f>
        <v>-13154.6825</v>
      </c>
      <c r="P85" s="4" t="n">
        <f aca="false">MAX(0,-(R84+N85))</f>
        <v>0</v>
      </c>
      <c r="Q85" s="4" t="n">
        <f aca="false">Q84+P85</f>
        <v>16422.349</v>
      </c>
      <c r="R85" s="4" t="n">
        <f aca="false">O85+Q85</f>
        <v>3267.6665</v>
      </c>
    </row>
    <row r="86" customFormat="false" ht="15" hidden="false" customHeight="false" outlineLevel="0" collapsed="false">
      <c r="A86" s="2" t="s">
        <v>42</v>
      </c>
      <c r="B86" s="2" t="s">
        <v>39</v>
      </c>
      <c r="C86" s="12" t="n">
        <v>8</v>
      </c>
      <c r="D86" s="12" t="n">
        <v>2031</v>
      </c>
      <c r="E86" s="4" t="n">
        <f aca="false">INDEX(驱动复算!A9:X9,1,情景参数!B4)</f>
        <v>12052.04</v>
      </c>
      <c r="F86" s="4" t="n">
        <f aca="false">E86*(1-情景参数!D4)</f>
        <v>12052.04</v>
      </c>
      <c r="G86" s="4" t="n">
        <f aca="false">IF(情景参数!E4="原表",驱动复算!U9-驱动复算!W9,驱动复算!P9)</f>
        <v>8037.007085</v>
      </c>
      <c r="H86" s="4" t="n">
        <f aca="false">IF(情景参数!E4="原表",驱动复算!W9,F86*情景参数!C4)</f>
        <v>602.602</v>
      </c>
      <c r="I86" s="4" t="n">
        <f aca="false">IF(情景参数!E4="原表",驱动复算!U9,G86+H86)</f>
        <v>8639.609085</v>
      </c>
      <c r="J86" s="4" t="n">
        <f aca="false">(F86-I86)*(1-情景参数!F4)</f>
        <v>3412.430915</v>
      </c>
      <c r="K86" s="4" t="n">
        <f aca="false">偿债原表!C10</f>
        <v>0</v>
      </c>
      <c r="L86" s="4" t="n">
        <f aca="false">偿债原表!D10</f>
        <v>730.2</v>
      </c>
      <c r="M86" s="4" t="n">
        <f aca="false">K86+L86</f>
        <v>730.2</v>
      </c>
      <c r="N86" s="4" t="n">
        <f aca="false">J86-M86</f>
        <v>2682.230915</v>
      </c>
      <c r="O86" s="4" t="n">
        <f aca="false">O85+N86</f>
        <v>-10472.451585</v>
      </c>
      <c r="P86" s="4" t="n">
        <f aca="false">MAX(0,-(R85+N86))</f>
        <v>0</v>
      </c>
      <c r="Q86" s="4" t="n">
        <f aca="false">Q85+P86</f>
        <v>16422.349</v>
      </c>
      <c r="R86" s="4" t="n">
        <f aca="false">O86+Q86</f>
        <v>5949.897415</v>
      </c>
    </row>
    <row r="87" customFormat="false" ht="15" hidden="false" customHeight="false" outlineLevel="0" collapsed="false">
      <c r="A87" s="2" t="s">
        <v>42</v>
      </c>
      <c r="B87" s="2" t="s">
        <v>39</v>
      </c>
      <c r="C87" s="12" t="n">
        <v>9</v>
      </c>
      <c r="D87" s="12" t="n">
        <v>2032</v>
      </c>
      <c r="E87" s="4" t="n">
        <f aca="false">INDEX(驱动复算!A10:X10,1,情景参数!B4)</f>
        <v>13163.43</v>
      </c>
      <c r="F87" s="4" t="n">
        <f aca="false">E87*(1-情景参数!D4)</f>
        <v>13163.43</v>
      </c>
      <c r="G87" s="4" t="n">
        <f aca="false">IF(情景参数!E4="原表",驱动复算!U10-驱动复算!W10,驱动复算!P10)</f>
        <v>8278.11729755</v>
      </c>
      <c r="H87" s="4" t="n">
        <f aca="false">IF(情景参数!E4="原表",驱动复算!W10,F87*情景参数!C4)</f>
        <v>658.1715</v>
      </c>
      <c r="I87" s="4" t="n">
        <f aca="false">IF(情景参数!E4="原表",驱动复算!U10,G87+H87)</f>
        <v>8936.28879755</v>
      </c>
      <c r="J87" s="4" t="n">
        <f aca="false">(F87-I87)*(1-情景参数!F4)</f>
        <v>4227.14120245</v>
      </c>
      <c r="K87" s="4" t="n">
        <f aca="false">偿债原表!C11</f>
        <v>2000</v>
      </c>
      <c r="L87" s="4" t="n">
        <f aca="false">偿债原表!D11</f>
        <v>730.2</v>
      </c>
      <c r="M87" s="4" t="n">
        <f aca="false">K87+L87</f>
        <v>2730.2</v>
      </c>
      <c r="N87" s="4" t="n">
        <f aca="false">J87-M87</f>
        <v>1496.94120245</v>
      </c>
      <c r="O87" s="4" t="n">
        <f aca="false">O86+N87</f>
        <v>-8975.51038255001</v>
      </c>
      <c r="P87" s="4" t="n">
        <f aca="false">MAX(0,-(R86+N87))</f>
        <v>0</v>
      </c>
      <c r="Q87" s="4" t="n">
        <f aca="false">Q86+P87</f>
        <v>16422.349</v>
      </c>
      <c r="R87" s="4" t="n">
        <f aca="false">O87+Q87</f>
        <v>7446.83861745</v>
      </c>
    </row>
    <row r="88" customFormat="false" ht="15" hidden="false" customHeight="false" outlineLevel="0" collapsed="false">
      <c r="A88" s="2" t="s">
        <v>42</v>
      </c>
      <c r="B88" s="2" t="s">
        <v>39</v>
      </c>
      <c r="C88" s="12" t="n">
        <v>10</v>
      </c>
      <c r="D88" s="12" t="n">
        <v>2033</v>
      </c>
      <c r="E88" s="4" t="n">
        <f aca="false">INDEX(驱动复算!A11:X11,1,情景参数!B4)</f>
        <v>14139.86</v>
      </c>
      <c r="F88" s="4" t="n">
        <f aca="false">E88*(1-情景参数!D4)</f>
        <v>14139.86</v>
      </c>
      <c r="G88" s="4" t="n">
        <f aca="false">IF(情景参数!E4="原表",驱动复算!U11-驱动复算!W11,驱动复算!P11)</f>
        <v>8526.4608164765</v>
      </c>
      <c r="H88" s="4" t="n">
        <f aca="false">IF(情景参数!E4="原表",驱动复算!W11,F88*情景参数!C4)</f>
        <v>706.993</v>
      </c>
      <c r="I88" s="4" t="n">
        <f aca="false">IF(情景参数!E4="原表",驱动复算!U11,G88+H88)</f>
        <v>9233.4538164765</v>
      </c>
      <c r="J88" s="4" t="n">
        <f aca="false">(F88-I88)*(1-情景参数!F4)</f>
        <v>4906.4061835235</v>
      </c>
      <c r="K88" s="4" t="n">
        <f aca="false">偿债原表!C12</f>
        <v>0</v>
      </c>
      <c r="L88" s="4" t="n">
        <f aca="false">偿债原表!D12</f>
        <v>673.2</v>
      </c>
      <c r="M88" s="4" t="n">
        <f aca="false">K88+L88</f>
        <v>673.2</v>
      </c>
      <c r="N88" s="4" t="n">
        <f aca="false">J88-M88</f>
        <v>4233.2061835235</v>
      </c>
      <c r="O88" s="4" t="n">
        <f aca="false">O87+N88</f>
        <v>-4742.30419902651</v>
      </c>
      <c r="P88" s="4" t="n">
        <f aca="false">MAX(0,-(R87+N88))</f>
        <v>0</v>
      </c>
      <c r="Q88" s="4" t="n">
        <f aca="false">Q87+P88</f>
        <v>16422.349</v>
      </c>
      <c r="R88" s="4" t="n">
        <f aca="false">O88+Q88</f>
        <v>11680.0448009735</v>
      </c>
    </row>
    <row r="89" customFormat="false" ht="15" hidden="false" customHeight="false" outlineLevel="0" collapsed="false">
      <c r="A89" s="2" t="s">
        <v>42</v>
      </c>
      <c r="B89" s="2" t="s">
        <v>39</v>
      </c>
      <c r="C89" s="12" t="n">
        <v>11</v>
      </c>
      <c r="D89" s="12" t="n">
        <v>2034</v>
      </c>
      <c r="E89" s="4" t="n">
        <f aca="false">INDEX(驱动复算!A12:X12,1,情景参数!B4)</f>
        <v>14781.69</v>
      </c>
      <c r="F89" s="4" t="n">
        <f aca="false">E89*(1-情景参数!D4)</f>
        <v>14781.69</v>
      </c>
      <c r="G89" s="4" t="n">
        <f aca="false">IF(情景参数!E4="原表",驱动复算!U12-驱动复算!W12,驱动复算!P12)</f>
        <v>8782.2546409708</v>
      </c>
      <c r="H89" s="4" t="n">
        <f aca="false">IF(情景参数!E4="原表",驱动复算!W12,F89*情景参数!C4)</f>
        <v>739.0845</v>
      </c>
      <c r="I89" s="4" t="n">
        <f aca="false">IF(情景参数!E4="原表",驱动复算!U12,G89+H89)</f>
        <v>9521.3391409708</v>
      </c>
      <c r="J89" s="4" t="n">
        <f aca="false">(F89-I89)*(1-情景参数!F4)</f>
        <v>5260.3508590292</v>
      </c>
      <c r="K89" s="4" t="n">
        <f aca="false">偿债原表!C13</f>
        <v>0</v>
      </c>
      <c r="L89" s="4" t="n">
        <f aca="false">偿债原表!D13</f>
        <v>673.2</v>
      </c>
      <c r="M89" s="4" t="n">
        <f aca="false">K89+L89</f>
        <v>673.2</v>
      </c>
      <c r="N89" s="4" t="n">
        <f aca="false">J89-M89</f>
        <v>4587.1508590292</v>
      </c>
      <c r="O89" s="4" t="n">
        <f aca="false">O88+N89</f>
        <v>-155.153339997301</v>
      </c>
      <c r="P89" s="4" t="n">
        <f aca="false">MAX(0,-(R88+N89))</f>
        <v>0</v>
      </c>
      <c r="Q89" s="4" t="n">
        <f aca="false">Q88+P89</f>
        <v>16422.349</v>
      </c>
      <c r="R89" s="4" t="n">
        <f aca="false">O89+Q89</f>
        <v>16267.1956600027</v>
      </c>
    </row>
    <row r="90" customFormat="false" ht="15" hidden="false" customHeight="false" outlineLevel="0" collapsed="false">
      <c r="A90" s="2" t="s">
        <v>42</v>
      </c>
      <c r="B90" s="2" t="s">
        <v>39</v>
      </c>
      <c r="C90" s="12" t="n">
        <v>12</v>
      </c>
      <c r="D90" s="12" t="n">
        <v>2035</v>
      </c>
      <c r="E90" s="4" t="n">
        <f aca="false">INDEX(驱动复算!A13:X13,1,情景参数!B4)</f>
        <v>15455.6</v>
      </c>
      <c r="F90" s="4" t="n">
        <f aca="false">E90*(1-情景参数!D4)</f>
        <v>15455.6</v>
      </c>
      <c r="G90" s="4" t="n">
        <f aca="false">IF(情景参数!E4="原表",驱动复算!U13-驱动复算!W13,驱动复算!P13)</f>
        <v>9045.72228019992</v>
      </c>
      <c r="H90" s="4" t="n">
        <f aca="false">IF(情景参数!E4="原表",驱动复算!W13,F90*情景参数!C4)</f>
        <v>772.78</v>
      </c>
      <c r="I90" s="4" t="n">
        <f aca="false">IF(情景参数!E4="原表",驱动复算!U13,G90+H90)</f>
        <v>9818.50228019992</v>
      </c>
      <c r="J90" s="4" t="n">
        <f aca="false">(F90-I90)*(1-情景参数!F4)</f>
        <v>5637.09771980008</v>
      </c>
      <c r="K90" s="4" t="n">
        <f aca="false">偿债原表!C14</f>
        <v>0</v>
      </c>
      <c r="L90" s="4" t="n">
        <f aca="false">偿债原表!D14</f>
        <v>673.2</v>
      </c>
      <c r="M90" s="4" t="n">
        <f aca="false">K90+L90</f>
        <v>673.2</v>
      </c>
      <c r="N90" s="4" t="n">
        <f aca="false">J90-M90</f>
        <v>4963.89771980008</v>
      </c>
      <c r="O90" s="4" t="n">
        <f aca="false">O89+N90</f>
        <v>4808.74437980278</v>
      </c>
      <c r="P90" s="4" t="n">
        <f aca="false">MAX(0,-(R89+N90))</f>
        <v>0</v>
      </c>
      <c r="Q90" s="4" t="n">
        <f aca="false">Q89+P90</f>
        <v>16422.349</v>
      </c>
      <c r="R90" s="4" t="n">
        <f aca="false">O90+Q90</f>
        <v>21231.0933798028</v>
      </c>
    </row>
    <row r="91" customFormat="false" ht="15" hidden="false" customHeight="false" outlineLevel="0" collapsed="false">
      <c r="A91" s="2" t="s">
        <v>42</v>
      </c>
      <c r="B91" s="2" t="s">
        <v>39</v>
      </c>
      <c r="C91" s="12" t="n">
        <v>13</v>
      </c>
      <c r="D91" s="12" t="n">
        <v>2036</v>
      </c>
      <c r="E91" s="4" t="n">
        <f aca="false">INDEX(驱动复算!A14:X14,1,情景参数!B4)</f>
        <v>16163.21</v>
      </c>
      <c r="F91" s="4" t="n">
        <f aca="false">E91*(1-情景参数!D4)</f>
        <v>16163.21</v>
      </c>
      <c r="G91" s="4" t="n">
        <f aca="false">IF(情景参数!E4="原表",驱动复算!U14-驱动复算!W14,驱动复算!P14)</f>
        <v>9317.09394860592</v>
      </c>
      <c r="H91" s="4" t="n">
        <f aca="false">IF(情景参数!E4="原表",驱动复算!W14,F91*情景参数!C4)</f>
        <v>808.1605</v>
      </c>
      <c r="I91" s="4" t="n">
        <f aca="false">IF(情景参数!E4="原表",驱动复算!U14,G91+H91)</f>
        <v>10125.2544486059</v>
      </c>
      <c r="J91" s="4" t="n">
        <f aca="false">(F91-I91)*(1-情景参数!F4)</f>
        <v>6037.95555139408</v>
      </c>
      <c r="K91" s="4" t="n">
        <f aca="false">偿债原表!C15</f>
        <v>0</v>
      </c>
      <c r="L91" s="4" t="n">
        <f aca="false">偿债原表!D15</f>
        <v>673.2</v>
      </c>
      <c r="M91" s="4" t="n">
        <f aca="false">K91+L91</f>
        <v>673.2</v>
      </c>
      <c r="N91" s="4" t="n">
        <f aca="false">J91-M91</f>
        <v>5364.75555139408</v>
      </c>
      <c r="O91" s="4" t="n">
        <f aca="false">O90+N91</f>
        <v>10173.4999311969</v>
      </c>
      <c r="P91" s="4" t="n">
        <f aca="false">MAX(0,-(R90+N91))</f>
        <v>0</v>
      </c>
      <c r="Q91" s="4" t="n">
        <f aca="false">Q90+P91</f>
        <v>16422.349</v>
      </c>
      <c r="R91" s="4" t="n">
        <f aca="false">O91+Q91</f>
        <v>26595.8489311969</v>
      </c>
    </row>
    <row r="92" customFormat="false" ht="15" hidden="false" customHeight="false" outlineLevel="0" collapsed="false">
      <c r="A92" s="2" t="s">
        <v>42</v>
      </c>
      <c r="B92" s="2" t="s">
        <v>39</v>
      </c>
      <c r="C92" s="12" t="n">
        <v>14</v>
      </c>
      <c r="D92" s="12" t="n">
        <v>2037</v>
      </c>
      <c r="E92" s="4" t="n">
        <f aca="false">INDEX(驱动复算!A15:X15,1,情景参数!B4)</f>
        <v>16906.2</v>
      </c>
      <c r="F92" s="4" t="n">
        <f aca="false">E92*(1-情景参数!D4)</f>
        <v>16906.2</v>
      </c>
      <c r="G92" s="4" t="n">
        <f aca="false">IF(情景参数!E4="原表",驱动复算!U15-驱动复算!W15,驱动复算!P15)</f>
        <v>9596.6067670641</v>
      </c>
      <c r="H92" s="4" t="n">
        <f aca="false">IF(情景参数!E4="原表",驱动复算!W15,F92*情景参数!C4)</f>
        <v>845.31</v>
      </c>
      <c r="I92" s="4" t="n">
        <f aca="false">IF(情景参数!E4="原表",驱动复算!U15,G92+H92)</f>
        <v>10441.9167670641</v>
      </c>
      <c r="J92" s="4" t="n">
        <f aca="false">(F92-I92)*(1-情景参数!F4)</f>
        <v>6464.2832329359</v>
      </c>
      <c r="K92" s="4" t="n">
        <f aca="false">偿债原表!C16</f>
        <v>1000</v>
      </c>
      <c r="L92" s="4" t="n">
        <f aca="false">偿债原表!D16</f>
        <v>673.2</v>
      </c>
      <c r="M92" s="4" t="n">
        <f aca="false">K92+L92</f>
        <v>1673.2</v>
      </c>
      <c r="N92" s="4" t="n">
        <f aca="false">J92-M92</f>
        <v>4791.08323293591</v>
      </c>
      <c r="O92" s="4" t="n">
        <f aca="false">O91+N92</f>
        <v>14964.5831641328</v>
      </c>
      <c r="P92" s="4" t="n">
        <f aca="false">MAX(0,-(R91+N92))</f>
        <v>0</v>
      </c>
      <c r="Q92" s="4" t="n">
        <f aca="false">Q91+P92</f>
        <v>16422.349</v>
      </c>
      <c r="R92" s="4" t="n">
        <f aca="false">O92+Q92</f>
        <v>31386.9321641328</v>
      </c>
    </row>
    <row r="93" customFormat="false" ht="15" hidden="false" customHeight="false" outlineLevel="0" collapsed="false">
      <c r="A93" s="2" t="s">
        <v>42</v>
      </c>
      <c r="B93" s="2" t="s">
        <v>39</v>
      </c>
      <c r="C93" s="12" t="n">
        <v>15</v>
      </c>
      <c r="D93" s="12" t="n">
        <v>2038</v>
      </c>
      <c r="E93" s="4" t="n">
        <f aca="false">INDEX(驱动复算!A16:X16,1,情景参数!B4)</f>
        <v>17546.68</v>
      </c>
      <c r="F93" s="4" t="n">
        <f aca="false">E93*(1-情景参数!D4)</f>
        <v>17546.68</v>
      </c>
      <c r="G93" s="4" t="n">
        <f aca="false">IF(情景参数!E4="原表",驱动复算!U16-驱动复算!W16,驱动复算!P16)</f>
        <v>9884.50497007602</v>
      </c>
      <c r="H93" s="4" t="n">
        <f aca="false">IF(情景参数!E4="原表",驱动复算!W16,F93*情景参数!C4)</f>
        <v>877.334</v>
      </c>
      <c r="I93" s="4" t="n">
        <f aca="false">IF(情景参数!E4="原表",驱动复算!U16,G93+H93)</f>
        <v>10761.838970076</v>
      </c>
      <c r="J93" s="4" t="n">
        <f aca="false">(F93-I93)*(1-情景参数!F4)</f>
        <v>6784.84102992398</v>
      </c>
      <c r="K93" s="4" t="n">
        <f aca="false">偿债原表!C17</f>
        <v>0</v>
      </c>
      <c r="L93" s="4" t="n">
        <f aca="false">偿债原表!D17</f>
        <v>644</v>
      </c>
      <c r="M93" s="4" t="n">
        <f aca="false">K93+L93</f>
        <v>644</v>
      </c>
      <c r="N93" s="4" t="n">
        <f aca="false">J93-M93</f>
        <v>6140.84102992398</v>
      </c>
      <c r="O93" s="4" t="n">
        <f aca="false">O92+N93</f>
        <v>21105.4241940567</v>
      </c>
      <c r="P93" s="4" t="n">
        <f aca="false">MAX(0,-(R92+N93))</f>
        <v>0</v>
      </c>
      <c r="Q93" s="4" t="n">
        <f aca="false">Q92+P93</f>
        <v>16422.349</v>
      </c>
      <c r="R93" s="4" t="n">
        <f aca="false">O93+Q93</f>
        <v>37527.7731940568</v>
      </c>
    </row>
    <row r="94" customFormat="false" ht="15" hidden="false" customHeight="false" outlineLevel="0" collapsed="false">
      <c r="A94" s="2" t="s">
        <v>42</v>
      </c>
      <c r="B94" s="2" t="s">
        <v>39</v>
      </c>
      <c r="C94" s="12" t="n">
        <v>16</v>
      </c>
      <c r="D94" s="12" t="n">
        <v>2039</v>
      </c>
      <c r="E94" s="4" t="n">
        <f aca="false">INDEX(驱动复算!A17:X17,1,情景参数!B4)</f>
        <v>17864.98</v>
      </c>
      <c r="F94" s="4" t="n">
        <f aca="false">E94*(1-情景参数!D4)</f>
        <v>17864.98</v>
      </c>
      <c r="G94" s="4" t="n">
        <f aca="false">IF(情景参数!E4="原表",驱动复算!U17-驱动复算!W17,驱动复算!P17)</f>
        <v>10181.0401191783</v>
      </c>
      <c r="H94" s="4" t="n">
        <f aca="false">IF(情景参数!E4="原表",驱动复算!W17,F94*情景参数!C4)</f>
        <v>893.249</v>
      </c>
      <c r="I94" s="4" t="n">
        <f aca="false">IF(情景参数!E4="原表",驱动复算!U17,G94+H94)</f>
        <v>11074.2891191783</v>
      </c>
      <c r="J94" s="4" t="n">
        <f aca="false">(F94-I94)*(1-情景参数!F4)</f>
        <v>6790.6908808217</v>
      </c>
      <c r="K94" s="4" t="n">
        <f aca="false">偿债原表!C18</f>
        <v>0</v>
      </c>
      <c r="L94" s="4" t="n">
        <f aca="false">偿债原表!D18</f>
        <v>644</v>
      </c>
      <c r="M94" s="4" t="n">
        <f aca="false">K94+L94</f>
        <v>644</v>
      </c>
      <c r="N94" s="4" t="n">
        <f aca="false">J94-M94</f>
        <v>6146.6908808217</v>
      </c>
      <c r="O94" s="4" t="n">
        <f aca="false">O93+N94</f>
        <v>27252.1150748784</v>
      </c>
      <c r="P94" s="4" t="n">
        <f aca="false">MAX(0,-(R93+N94))</f>
        <v>0</v>
      </c>
      <c r="Q94" s="4" t="n">
        <f aca="false">Q93+P94</f>
        <v>16422.349</v>
      </c>
      <c r="R94" s="4" t="n">
        <f aca="false">O94+Q94</f>
        <v>43674.4640748784</v>
      </c>
    </row>
    <row r="95" customFormat="false" ht="15" hidden="false" customHeight="false" outlineLevel="0" collapsed="false">
      <c r="A95" s="2" t="s">
        <v>42</v>
      </c>
      <c r="B95" s="2" t="s">
        <v>39</v>
      </c>
      <c r="C95" s="12" t="n">
        <v>17</v>
      </c>
      <c r="D95" s="12" t="n">
        <v>2040</v>
      </c>
      <c r="E95" s="4" t="n">
        <f aca="false">INDEX(驱动复算!A18:X18,1,情景参数!B4)</f>
        <v>18189.64</v>
      </c>
      <c r="F95" s="4" t="n">
        <f aca="false">E95*(1-情景参数!D4)</f>
        <v>18189.64</v>
      </c>
      <c r="G95" s="4" t="n">
        <f aca="false">IF(情景参数!E4="原表",驱动复算!U18-驱动复算!W18,驱动复算!P18)</f>
        <v>10486.4713227536</v>
      </c>
      <c r="H95" s="4" t="n">
        <f aca="false">IF(情景参数!E4="原表",驱动复算!W18,F95*情景参数!C4)</f>
        <v>909.482</v>
      </c>
      <c r="I95" s="4" t="n">
        <f aca="false">IF(情景参数!E4="原表",驱动复算!U18,G95+H95)</f>
        <v>11395.9533227536</v>
      </c>
      <c r="J95" s="4" t="n">
        <f aca="false">(F95-I95)*(1-情景参数!F4)</f>
        <v>6793.68667724635</v>
      </c>
      <c r="K95" s="4" t="n">
        <f aca="false">偿债原表!C19</f>
        <v>0</v>
      </c>
      <c r="L95" s="4" t="n">
        <f aca="false">偿债原表!D19</f>
        <v>644</v>
      </c>
      <c r="M95" s="4" t="n">
        <f aca="false">K95+L95</f>
        <v>644</v>
      </c>
      <c r="N95" s="4" t="n">
        <f aca="false">J95-M95</f>
        <v>6149.68667724635</v>
      </c>
      <c r="O95" s="4" t="n">
        <f aca="false">O94+N95</f>
        <v>33401.8017521248</v>
      </c>
      <c r="P95" s="4" t="n">
        <f aca="false">MAX(0,-(R94+N95))</f>
        <v>0</v>
      </c>
      <c r="Q95" s="4" t="n">
        <f aca="false">Q94+P95</f>
        <v>16422.349</v>
      </c>
      <c r="R95" s="4" t="n">
        <f aca="false">O95+Q95</f>
        <v>49824.1507521248</v>
      </c>
    </row>
    <row r="96" customFormat="false" ht="15" hidden="false" customHeight="false" outlineLevel="0" collapsed="false">
      <c r="A96" s="2" t="s">
        <v>42</v>
      </c>
      <c r="B96" s="2" t="s">
        <v>39</v>
      </c>
      <c r="C96" s="12" t="n">
        <v>18</v>
      </c>
      <c r="D96" s="12" t="n">
        <v>2041</v>
      </c>
      <c r="E96" s="4" t="n">
        <f aca="false">INDEX(驱动复算!A19:X19,1,情景参数!B4)</f>
        <v>18520.8</v>
      </c>
      <c r="F96" s="4" t="n">
        <f aca="false">E96*(1-情景参数!D4)</f>
        <v>18520.8</v>
      </c>
      <c r="G96" s="4" t="n">
        <f aca="false">IF(情景参数!E4="原表",驱动复算!U19-驱动复算!W19,驱动复算!P19)</f>
        <v>10801.0654624363</v>
      </c>
      <c r="H96" s="4" t="n">
        <f aca="false">IF(情景参数!E4="原表",驱动复算!W19,F96*情景参数!C4)</f>
        <v>926.04</v>
      </c>
      <c r="I96" s="4" t="n">
        <f aca="false">IF(情景参数!E4="原表",驱动复算!U19,G96+H96)</f>
        <v>11727.1054624363</v>
      </c>
      <c r="J96" s="4" t="n">
        <f aca="false">(F96-I96)*(1-情景参数!F4)</f>
        <v>6793.69453756374</v>
      </c>
      <c r="K96" s="4" t="n">
        <f aca="false">偿债原表!C20</f>
        <v>20000</v>
      </c>
      <c r="L96" s="4" t="n">
        <f aca="false">偿债原表!D20</f>
        <v>644</v>
      </c>
      <c r="M96" s="4" t="n">
        <f aca="false">K96+L96</f>
        <v>20644</v>
      </c>
      <c r="N96" s="4" t="n">
        <f aca="false">J96-M96</f>
        <v>-13850.3054624363</v>
      </c>
      <c r="O96" s="4" t="n">
        <f aca="false">O95+N96</f>
        <v>19551.4962896885</v>
      </c>
      <c r="P96" s="4" t="n">
        <f aca="false">MAX(0,-(R95+N96))</f>
        <v>0</v>
      </c>
      <c r="Q96" s="4" t="n">
        <f aca="false">Q95+P96</f>
        <v>16422.349</v>
      </c>
      <c r="R96" s="4" t="n">
        <f aca="false">O96+Q96</f>
        <v>35973.8452896885</v>
      </c>
    </row>
    <row r="97" customFormat="false" ht="15" hidden="false" customHeight="false" outlineLevel="0" collapsed="false">
      <c r="A97" s="2" t="s">
        <v>42</v>
      </c>
      <c r="B97" s="2" t="s">
        <v>40</v>
      </c>
      <c r="C97" s="12" t="n">
        <v>0</v>
      </c>
      <c r="D97" s="13" t="s">
        <v>248</v>
      </c>
      <c r="E97" s="4" t="n">
        <f aca="false">0</f>
        <v>0</v>
      </c>
      <c r="F97" s="4" t="n">
        <f aca="false">E97*(1-情景参数!D4)</f>
        <v>0</v>
      </c>
      <c r="G97" s="4" t="n">
        <f aca="false">0</f>
        <v>0</v>
      </c>
      <c r="H97" s="4" t="n">
        <f aca="false">0</f>
        <v>0</v>
      </c>
      <c r="I97" s="4" t="n">
        <f aca="false">0</f>
        <v>0</v>
      </c>
      <c r="J97" s="4" t="n">
        <f aca="false">(F97-I97)*(1-情景参数!F4)</f>
        <v>0</v>
      </c>
      <c r="K97" s="4" t="n">
        <f aca="false">偿债原表!F2</f>
        <v>0</v>
      </c>
      <c r="L97" s="4" t="n">
        <f aca="false">偿债原表!G2</f>
        <v>1374.2</v>
      </c>
      <c r="M97" s="4" t="n">
        <f aca="false">K97+L97</f>
        <v>1374.2</v>
      </c>
      <c r="N97" s="4" t="n">
        <f aca="false">J97-M97</f>
        <v>-1374.2</v>
      </c>
      <c r="O97" s="4" t="n">
        <f aca="false">N97</f>
        <v>-1374.2</v>
      </c>
      <c r="P97" s="4" t="n">
        <f aca="false">MAX(0,-N97)</f>
        <v>1374.2</v>
      </c>
      <c r="Q97" s="4" t="n">
        <f aca="false">P97</f>
        <v>1374.2</v>
      </c>
      <c r="R97" s="4" t="n">
        <f aca="false">O97+Q97</f>
        <v>0</v>
      </c>
    </row>
    <row r="98" customFormat="false" ht="15" hidden="false" customHeight="false" outlineLevel="0" collapsed="false">
      <c r="A98" s="2" t="s">
        <v>42</v>
      </c>
      <c r="B98" s="2" t="s">
        <v>40</v>
      </c>
      <c r="C98" s="12" t="n">
        <v>1</v>
      </c>
      <c r="D98" s="12" t="n">
        <v>2024</v>
      </c>
      <c r="E98" s="4" t="n">
        <f aca="false">INDEX(驱动复算!A2:X2,1,情景参数!B4)</f>
        <v>0</v>
      </c>
      <c r="F98" s="4" t="n">
        <f aca="false">E98*(1-情景参数!D4)</f>
        <v>0</v>
      </c>
      <c r="G98" s="4" t="n">
        <f aca="false">IF(情景参数!E4="原表",驱动复算!U2-驱动复算!W2,驱动复算!P2)</f>
        <v>0</v>
      </c>
      <c r="H98" s="4" t="n">
        <f aca="false">IF(情景参数!E4="原表",驱动复算!W2,F98*情景参数!C4)</f>
        <v>0</v>
      </c>
      <c r="I98" s="4" t="n">
        <f aca="false">IF(情景参数!E4="原表",驱动复算!U2,G98+H98)</f>
        <v>0</v>
      </c>
      <c r="J98" s="4" t="n">
        <f aca="false">(F98-I98)*(1-情景参数!F4)</f>
        <v>0</v>
      </c>
      <c r="K98" s="4" t="n">
        <f aca="false">偿债原表!F3</f>
        <v>0</v>
      </c>
      <c r="L98" s="4" t="n">
        <f aca="false">偿债原表!G3</f>
        <v>1107.58</v>
      </c>
      <c r="M98" s="4" t="n">
        <f aca="false">K98+L98</f>
        <v>1107.58</v>
      </c>
      <c r="N98" s="4" t="n">
        <f aca="false">J98-M98</f>
        <v>-1107.58</v>
      </c>
      <c r="O98" s="4" t="n">
        <f aca="false">O97+N98</f>
        <v>-2481.78</v>
      </c>
      <c r="P98" s="4" t="n">
        <f aca="false">MAX(0,-(R97+N98))</f>
        <v>1107.58</v>
      </c>
      <c r="Q98" s="4" t="n">
        <f aca="false">Q97+P98</f>
        <v>2481.78</v>
      </c>
      <c r="R98" s="4" t="n">
        <f aca="false">O98+Q98</f>
        <v>0</v>
      </c>
    </row>
    <row r="99" customFormat="false" ht="15" hidden="false" customHeight="false" outlineLevel="0" collapsed="false">
      <c r="A99" s="2" t="s">
        <v>42</v>
      </c>
      <c r="B99" s="2" t="s">
        <v>40</v>
      </c>
      <c r="C99" s="12" t="n">
        <v>2</v>
      </c>
      <c r="D99" s="12" t="n">
        <v>2025</v>
      </c>
      <c r="E99" s="4" t="n">
        <f aca="false">INDEX(驱动复算!A3:X3,1,情景参数!B4)</f>
        <v>0</v>
      </c>
      <c r="F99" s="4" t="n">
        <f aca="false">E99*(1-情景参数!D4)</f>
        <v>0</v>
      </c>
      <c r="G99" s="4" t="n">
        <f aca="false">IF(情景参数!E4="原表",驱动复算!U3-驱动复算!W3,驱动复算!P3)</f>
        <v>0</v>
      </c>
      <c r="H99" s="4" t="n">
        <f aca="false">IF(情景参数!E4="原表",驱动复算!W3,F99*情景参数!C4)</f>
        <v>0</v>
      </c>
      <c r="I99" s="4" t="n">
        <f aca="false">IF(情景参数!E4="原表",驱动复算!U3,G99+H99)</f>
        <v>0</v>
      </c>
      <c r="J99" s="4" t="n">
        <f aca="false">(F99-I99)*(1-情景参数!F4)</f>
        <v>0</v>
      </c>
      <c r="K99" s="4" t="n">
        <f aca="false">偿债原表!F4</f>
        <v>0</v>
      </c>
      <c r="L99" s="4" t="n">
        <f aca="false">偿债原表!G4</f>
        <v>1107.58</v>
      </c>
      <c r="M99" s="4" t="n">
        <f aca="false">K99+L99</f>
        <v>1107.58</v>
      </c>
      <c r="N99" s="4" t="n">
        <f aca="false">J99-M99</f>
        <v>-1107.58</v>
      </c>
      <c r="O99" s="4" t="n">
        <f aca="false">O98+N99</f>
        <v>-3589.36</v>
      </c>
      <c r="P99" s="4" t="n">
        <f aca="false">MAX(0,-(R98+N99))</f>
        <v>1107.58</v>
      </c>
      <c r="Q99" s="4" t="n">
        <f aca="false">Q98+P99</f>
        <v>3589.36</v>
      </c>
      <c r="R99" s="4" t="n">
        <f aca="false">O99+Q99</f>
        <v>0</v>
      </c>
    </row>
    <row r="100" customFormat="false" ht="15" hidden="false" customHeight="false" outlineLevel="0" collapsed="false">
      <c r="A100" s="2" t="s">
        <v>42</v>
      </c>
      <c r="B100" s="2" t="s">
        <v>40</v>
      </c>
      <c r="C100" s="12" t="n">
        <v>3</v>
      </c>
      <c r="D100" s="12" t="n">
        <v>2026</v>
      </c>
      <c r="E100" s="4" t="n">
        <f aca="false">INDEX(驱动复算!A4:X4,1,情景参数!B4)</f>
        <v>0</v>
      </c>
      <c r="F100" s="4" t="n">
        <f aca="false">E100*(1-情景参数!D4)</f>
        <v>0</v>
      </c>
      <c r="G100" s="4" t="n">
        <f aca="false">IF(情景参数!E4="原表",驱动复算!U4-驱动复算!W4,驱动复算!P4)</f>
        <v>0</v>
      </c>
      <c r="H100" s="4" t="n">
        <f aca="false">IF(情景参数!E4="原表",驱动复算!W4,F100*情景参数!C4)</f>
        <v>0</v>
      </c>
      <c r="I100" s="4" t="n">
        <f aca="false">IF(情景参数!E4="原表",驱动复算!U4,G100+H100)</f>
        <v>0</v>
      </c>
      <c r="J100" s="4" t="n">
        <f aca="false">(F100-I100)*(1-情景参数!F4)</f>
        <v>0</v>
      </c>
      <c r="K100" s="4" t="n">
        <f aca="false">偿债原表!F5</f>
        <v>0</v>
      </c>
      <c r="L100" s="4" t="n">
        <f aca="false">偿债原表!G5</f>
        <v>1107.58</v>
      </c>
      <c r="M100" s="4" t="n">
        <f aca="false">K100+L100</f>
        <v>1107.58</v>
      </c>
      <c r="N100" s="4" t="n">
        <f aca="false">J100-M100</f>
        <v>-1107.58</v>
      </c>
      <c r="O100" s="4" t="n">
        <f aca="false">O99+N100</f>
        <v>-4696.94</v>
      </c>
      <c r="P100" s="4" t="n">
        <f aca="false">MAX(0,-(R99+N100))</f>
        <v>1107.58</v>
      </c>
      <c r="Q100" s="4" t="n">
        <f aca="false">Q99+P100</f>
        <v>4696.94</v>
      </c>
      <c r="R100" s="4" t="n">
        <f aca="false">O100+Q100</f>
        <v>0</v>
      </c>
    </row>
    <row r="101" customFormat="false" ht="15" hidden="false" customHeight="false" outlineLevel="0" collapsed="false">
      <c r="A101" s="2" t="s">
        <v>42</v>
      </c>
      <c r="B101" s="2" t="s">
        <v>40</v>
      </c>
      <c r="C101" s="12" t="n">
        <v>4</v>
      </c>
      <c r="D101" s="12" t="n">
        <v>2027</v>
      </c>
      <c r="E101" s="4" t="n">
        <f aca="false">INDEX(驱动复算!A5:X5,1,情景参数!B4)</f>
        <v>0</v>
      </c>
      <c r="F101" s="4" t="n">
        <f aca="false">E101*(1-情景参数!D4)</f>
        <v>0</v>
      </c>
      <c r="G101" s="4" t="n">
        <f aca="false">IF(情景参数!E4="原表",驱动复算!U5-驱动复算!W5,驱动复算!P5)</f>
        <v>0</v>
      </c>
      <c r="H101" s="4" t="n">
        <f aca="false">IF(情景参数!E4="原表",驱动复算!W5,F101*情景参数!C4)</f>
        <v>0</v>
      </c>
      <c r="I101" s="4" t="n">
        <f aca="false">IF(情景参数!E4="原表",驱动复算!U5,G101+H101)</f>
        <v>0</v>
      </c>
      <c r="J101" s="4" t="n">
        <f aca="false">(F101-I101)*(1-情景参数!F4)</f>
        <v>0</v>
      </c>
      <c r="K101" s="4" t="n">
        <f aca="false">偿债原表!F6</f>
        <v>0</v>
      </c>
      <c r="L101" s="4" t="n">
        <f aca="false">偿债原表!G6</f>
        <v>1107.58</v>
      </c>
      <c r="M101" s="4" t="n">
        <f aca="false">K101+L101</f>
        <v>1107.58</v>
      </c>
      <c r="N101" s="4" t="n">
        <f aca="false">J101-M101</f>
        <v>-1107.58</v>
      </c>
      <c r="O101" s="4" t="n">
        <f aca="false">O100+N101</f>
        <v>-5804.52</v>
      </c>
      <c r="P101" s="4" t="n">
        <f aca="false">MAX(0,-(R100+N101))</f>
        <v>1107.58</v>
      </c>
      <c r="Q101" s="4" t="n">
        <f aca="false">Q100+P101</f>
        <v>5804.52</v>
      </c>
      <c r="R101" s="4" t="n">
        <f aca="false">O101+Q101</f>
        <v>0</v>
      </c>
    </row>
    <row r="102" customFormat="false" ht="15" hidden="false" customHeight="false" outlineLevel="0" collapsed="false">
      <c r="A102" s="2" t="s">
        <v>42</v>
      </c>
      <c r="B102" s="2" t="s">
        <v>40</v>
      </c>
      <c r="C102" s="12" t="n">
        <v>5</v>
      </c>
      <c r="D102" s="12" t="n">
        <v>2028</v>
      </c>
      <c r="E102" s="4" t="n">
        <f aca="false">INDEX(驱动复算!A6:X6,1,情景参数!B4)</f>
        <v>9234.58</v>
      </c>
      <c r="F102" s="4" t="n">
        <f aca="false">E102*(1-情景参数!D4)</f>
        <v>9234.58</v>
      </c>
      <c r="G102" s="4" t="n">
        <f aca="false">IF(情景参数!E4="原表",驱动复算!U6-驱动复算!W6,驱动复算!P6)</f>
        <v>7355</v>
      </c>
      <c r="H102" s="4" t="n">
        <f aca="false">IF(情景参数!E4="原表",驱动复算!W6,F102*情景参数!C4)</f>
        <v>461.729</v>
      </c>
      <c r="I102" s="4" t="n">
        <f aca="false">IF(情景参数!E4="原表",驱动复算!U6,G102+H102)</f>
        <v>7816.729</v>
      </c>
      <c r="J102" s="4" t="n">
        <f aca="false">(F102-I102)*(1-情景参数!F4)</f>
        <v>1417.851</v>
      </c>
      <c r="K102" s="4" t="n">
        <f aca="false">偿债原表!F7</f>
        <v>1400</v>
      </c>
      <c r="L102" s="4" t="n">
        <f aca="false">偿债原表!G7</f>
        <v>1107.58</v>
      </c>
      <c r="M102" s="4" t="n">
        <f aca="false">K102+L102</f>
        <v>2507.58</v>
      </c>
      <c r="N102" s="4" t="n">
        <f aca="false">J102-M102</f>
        <v>-1089.729</v>
      </c>
      <c r="O102" s="4" t="n">
        <f aca="false">O101+N102</f>
        <v>-6894.249</v>
      </c>
      <c r="P102" s="4" t="n">
        <f aca="false">MAX(0,-(R101+N102))</f>
        <v>1089.729</v>
      </c>
      <c r="Q102" s="4" t="n">
        <f aca="false">Q101+P102</f>
        <v>6894.249</v>
      </c>
      <c r="R102" s="4" t="n">
        <f aca="false">O102+Q102</f>
        <v>0</v>
      </c>
    </row>
    <row r="103" customFormat="false" ht="15" hidden="false" customHeight="false" outlineLevel="0" collapsed="false">
      <c r="A103" s="2" t="s">
        <v>42</v>
      </c>
      <c r="B103" s="2" t="s">
        <v>40</v>
      </c>
      <c r="C103" s="12" t="n">
        <v>6</v>
      </c>
      <c r="D103" s="12" t="n">
        <v>2029</v>
      </c>
      <c r="E103" s="4" t="n">
        <f aca="false">INDEX(驱动复算!A7:X7,1,情景参数!B4)</f>
        <v>10123.19</v>
      </c>
      <c r="F103" s="4" t="n">
        <f aca="false">E103*(1-情景参数!D4)</f>
        <v>10123.19</v>
      </c>
      <c r="G103" s="4" t="n">
        <f aca="false">IF(情景参数!E4="原表",驱动复算!U7-驱动复算!W7,驱动复算!P7)</f>
        <v>7575.65</v>
      </c>
      <c r="H103" s="4" t="n">
        <f aca="false">IF(情景参数!E4="原表",驱动复算!W7,F103*情景参数!C4)</f>
        <v>506.1595</v>
      </c>
      <c r="I103" s="4" t="n">
        <f aca="false">IF(情景参数!E4="原表",驱动复算!U7,G103+H103)</f>
        <v>8081.8095</v>
      </c>
      <c r="J103" s="4" t="n">
        <f aca="false">(F103-I103)*(1-情景参数!F4)</f>
        <v>2041.3805</v>
      </c>
      <c r="K103" s="4" t="n">
        <f aca="false">偿债原表!F8</f>
        <v>0</v>
      </c>
      <c r="L103" s="4" t="n">
        <f aca="false">偿债原表!G8</f>
        <v>1075.8</v>
      </c>
      <c r="M103" s="4" t="n">
        <f aca="false">K103+L103</f>
        <v>1075.8</v>
      </c>
      <c r="N103" s="4" t="n">
        <f aca="false">J103-M103</f>
        <v>965.5805</v>
      </c>
      <c r="O103" s="4" t="n">
        <f aca="false">O102+N103</f>
        <v>-5928.6685</v>
      </c>
      <c r="P103" s="4" t="n">
        <f aca="false">MAX(0,-(R102+N103))</f>
        <v>0</v>
      </c>
      <c r="Q103" s="4" t="n">
        <f aca="false">Q102+P103</f>
        <v>6894.249</v>
      </c>
      <c r="R103" s="4" t="n">
        <f aca="false">O103+Q103</f>
        <v>965.5805</v>
      </c>
    </row>
    <row r="104" customFormat="false" ht="15" hidden="false" customHeight="false" outlineLevel="0" collapsed="false">
      <c r="A104" s="2" t="s">
        <v>42</v>
      </c>
      <c r="B104" s="2" t="s">
        <v>40</v>
      </c>
      <c r="C104" s="12" t="n">
        <v>7</v>
      </c>
      <c r="D104" s="12" t="n">
        <v>2030</v>
      </c>
      <c r="E104" s="4" t="n">
        <f aca="false">INDEX(驱动复算!A8:X8,1,情景参数!B4)</f>
        <v>11041.69</v>
      </c>
      <c r="F104" s="4" t="n">
        <f aca="false">E104*(1-情景参数!D4)</f>
        <v>11041.69</v>
      </c>
      <c r="G104" s="4" t="n">
        <f aca="false">IF(情景参数!E4="原表",驱动复算!U8-驱动复算!W8,驱动复算!P8)</f>
        <v>7802.9195</v>
      </c>
      <c r="H104" s="4" t="n">
        <f aca="false">IF(情景参数!E4="原表",驱动复算!W8,F104*情景参数!C4)</f>
        <v>552.0845</v>
      </c>
      <c r="I104" s="4" t="n">
        <f aca="false">IF(情景参数!E4="原表",驱动复算!U8,G104+H104)</f>
        <v>8355.004</v>
      </c>
      <c r="J104" s="4" t="n">
        <f aca="false">(F104-I104)*(1-情景参数!F4)</f>
        <v>2686.686</v>
      </c>
      <c r="K104" s="4" t="n">
        <f aca="false">偿债原表!F9</f>
        <v>0</v>
      </c>
      <c r="L104" s="4" t="n">
        <f aca="false">偿债原表!G9</f>
        <v>1075.8</v>
      </c>
      <c r="M104" s="4" t="n">
        <f aca="false">K104+L104</f>
        <v>1075.8</v>
      </c>
      <c r="N104" s="4" t="n">
        <f aca="false">J104-M104</f>
        <v>1610.886</v>
      </c>
      <c r="O104" s="4" t="n">
        <f aca="false">O103+N104</f>
        <v>-4317.7825</v>
      </c>
      <c r="P104" s="4" t="n">
        <f aca="false">MAX(0,-(R103+N104))</f>
        <v>0</v>
      </c>
      <c r="Q104" s="4" t="n">
        <f aca="false">Q103+P104</f>
        <v>6894.249</v>
      </c>
      <c r="R104" s="4" t="n">
        <f aca="false">O104+Q104</f>
        <v>2576.4665</v>
      </c>
    </row>
    <row r="105" customFormat="false" ht="15" hidden="false" customHeight="false" outlineLevel="0" collapsed="false">
      <c r="A105" s="2" t="s">
        <v>42</v>
      </c>
      <c r="B105" s="2" t="s">
        <v>40</v>
      </c>
      <c r="C105" s="12" t="n">
        <v>8</v>
      </c>
      <c r="D105" s="12" t="n">
        <v>2031</v>
      </c>
      <c r="E105" s="4" t="n">
        <f aca="false">INDEX(驱动复算!A9:X9,1,情景参数!B4)</f>
        <v>12052.04</v>
      </c>
      <c r="F105" s="4" t="n">
        <f aca="false">E105*(1-情景参数!D4)</f>
        <v>12052.04</v>
      </c>
      <c r="G105" s="4" t="n">
        <f aca="false">IF(情景参数!E4="原表",驱动复算!U9-驱动复算!W9,驱动复算!P9)</f>
        <v>8037.007085</v>
      </c>
      <c r="H105" s="4" t="n">
        <f aca="false">IF(情景参数!E4="原表",驱动复算!W9,F105*情景参数!C4)</f>
        <v>602.602</v>
      </c>
      <c r="I105" s="4" t="n">
        <f aca="false">IF(情景参数!E4="原表",驱动复算!U9,G105+H105)</f>
        <v>8639.609085</v>
      </c>
      <c r="J105" s="4" t="n">
        <f aca="false">(F105-I105)*(1-情景参数!F4)</f>
        <v>3412.430915</v>
      </c>
      <c r="K105" s="4" t="n">
        <f aca="false">偿债原表!F10</f>
        <v>0</v>
      </c>
      <c r="L105" s="4" t="n">
        <f aca="false">偿债原表!G10</f>
        <v>1075.8</v>
      </c>
      <c r="M105" s="4" t="n">
        <f aca="false">K105+L105</f>
        <v>1075.8</v>
      </c>
      <c r="N105" s="4" t="n">
        <f aca="false">J105-M105</f>
        <v>2336.630915</v>
      </c>
      <c r="O105" s="4" t="n">
        <f aca="false">O104+N105</f>
        <v>-1981.151585</v>
      </c>
      <c r="P105" s="4" t="n">
        <f aca="false">MAX(0,-(R104+N105))</f>
        <v>0</v>
      </c>
      <c r="Q105" s="4" t="n">
        <f aca="false">Q104+P105</f>
        <v>6894.249</v>
      </c>
      <c r="R105" s="4" t="n">
        <f aca="false">O105+Q105</f>
        <v>4913.097415</v>
      </c>
    </row>
    <row r="106" customFormat="false" ht="15" hidden="false" customHeight="false" outlineLevel="0" collapsed="false">
      <c r="A106" s="2" t="s">
        <v>42</v>
      </c>
      <c r="B106" s="2" t="s">
        <v>40</v>
      </c>
      <c r="C106" s="12" t="n">
        <v>9</v>
      </c>
      <c r="D106" s="12" t="n">
        <v>2032</v>
      </c>
      <c r="E106" s="4" t="n">
        <f aca="false">INDEX(驱动复算!A10:X10,1,情景参数!B4)</f>
        <v>13163.43</v>
      </c>
      <c r="F106" s="4" t="n">
        <f aca="false">E106*(1-情景参数!D4)</f>
        <v>13163.43</v>
      </c>
      <c r="G106" s="4" t="n">
        <f aca="false">IF(情景参数!E4="原表",驱动复算!U10-驱动复算!W10,驱动复算!P10)</f>
        <v>8278.11729755</v>
      </c>
      <c r="H106" s="4" t="n">
        <f aca="false">IF(情景参数!E4="原表",驱动复算!W10,F106*情景参数!C4)</f>
        <v>658.1715</v>
      </c>
      <c r="I106" s="4" t="n">
        <f aca="false">IF(情景参数!E4="原表",驱动复算!U10,G106+H106)</f>
        <v>8936.28879755</v>
      </c>
      <c r="J106" s="4" t="n">
        <f aca="false">(F106-I106)*(1-情景参数!F4)</f>
        <v>4227.14120245</v>
      </c>
      <c r="K106" s="4" t="n">
        <f aca="false">偿债原表!F11</f>
        <v>2000</v>
      </c>
      <c r="L106" s="4" t="n">
        <f aca="false">偿债原表!G11</f>
        <v>1075.8</v>
      </c>
      <c r="M106" s="4" t="n">
        <f aca="false">K106+L106</f>
        <v>3075.8</v>
      </c>
      <c r="N106" s="4" t="n">
        <f aca="false">J106-M106</f>
        <v>1151.34120245</v>
      </c>
      <c r="O106" s="4" t="n">
        <f aca="false">O105+N106</f>
        <v>-829.810382550001</v>
      </c>
      <c r="P106" s="4" t="n">
        <f aca="false">MAX(0,-(R105+N106))</f>
        <v>0</v>
      </c>
      <c r="Q106" s="4" t="n">
        <f aca="false">Q105+P106</f>
        <v>6894.249</v>
      </c>
      <c r="R106" s="4" t="n">
        <f aca="false">O106+Q106</f>
        <v>6064.43861745</v>
      </c>
    </row>
    <row r="107" customFormat="false" ht="15" hidden="false" customHeight="false" outlineLevel="0" collapsed="false">
      <c r="A107" s="2" t="s">
        <v>42</v>
      </c>
      <c r="B107" s="2" t="s">
        <v>40</v>
      </c>
      <c r="C107" s="12" t="n">
        <v>10</v>
      </c>
      <c r="D107" s="12" t="n">
        <v>2033</v>
      </c>
      <c r="E107" s="4" t="n">
        <f aca="false">INDEX(驱动复算!A11:X11,1,情景参数!B4)</f>
        <v>14139.86</v>
      </c>
      <c r="F107" s="4" t="n">
        <f aca="false">E107*(1-情景参数!D4)</f>
        <v>14139.86</v>
      </c>
      <c r="G107" s="4" t="n">
        <f aca="false">IF(情景参数!E4="原表",驱动复算!U11-驱动复算!W11,驱动复算!P11)</f>
        <v>8526.4608164765</v>
      </c>
      <c r="H107" s="4" t="n">
        <f aca="false">IF(情景参数!E4="原表",驱动复算!W11,F107*情景参数!C4)</f>
        <v>706.993</v>
      </c>
      <c r="I107" s="4" t="n">
        <f aca="false">IF(情景参数!E4="原表",驱动复算!U11,G107+H107)</f>
        <v>9233.4538164765</v>
      </c>
      <c r="J107" s="4" t="n">
        <f aca="false">(F107-I107)*(1-情景参数!F4)</f>
        <v>4906.4061835235</v>
      </c>
      <c r="K107" s="4" t="n">
        <f aca="false">偿债原表!F12</f>
        <v>9600</v>
      </c>
      <c r="L107" s="4" t="n">
        <f aca="false">偿债原表!G12</f>
        <v>1018.8</v>
      </c>
      <c r="M107" s="4" t="n">
        <f aca="false">K107+L107</f>
        <v>10618.8</v>
      </c>
      <c r="N107" s="4" t="n">
        <f aca="false">J107-M107</f>
        <v>-5712.3938164765</v>
      </c>
      <c r="O107" s="4" t="n">
        <f aca="false">O106+N107</f>
        <v>-6542.2041990265</v>
      </c>
      <c r="P107" s="4" t="n">
        <f aca="false">MAX(0,-(R106+N107))</f>
        <v>0</v>
      </c>
      <c r="Q107" s="4" t="n">
        <f aca="false">Q106+P107</f>
        <v>6894.249</v>
      </c>
      <c r="R107" s="4" t="n">
        <f aca="false">O107+Q107</f>
        <v>352.044800973498</v>
      </c>
    </row>
    <row r="108" customFormat="false" ht="15" hidden="false" customHeight="false" outlineLevel="0" collapsed="false">
      <c r="A108" s="2" t="s">
        <v>42</v>
      </c>
      <c r="B108" s="2" t="s">
        <v>40</v>
      </c>
      <c r="C108" s="12" t="n">
        <v>11</v>
      </c>
      <c r="D108" s="12" t="n">
        <v>2034</v>
      </c>
      <c r="E108" s="4" t="n">
        <f aca="false">INDEX(驱动复算!A12:X12,1,情景参数!B4)</f>
        <v>14781.69</v>
      </c>
      <c r="F108" s="4" t="n">
        <f aca="false">E108*(1-情景参数!D4)</f>
        <v>14781.69</v>
      </c>
      <c r="G108" s="4" t="n">
        <f aca="false">IF(情景参数!E4="原表",驱动复算!U12-驱动复算!W12,驱动复算!P12)</f>
        <v>8782.2546409708</v>
      </c>
      <c r="H108" s="4" t="n">
        <f aca="false">IF(情景参数!E4="原表",驱动复算!W12,F108*情景参数!C4)</f>
        <v>739.0845</v>
      </c>
      <c r="I108" s="4" t="n">
        <f aca="false">IF(情景参数!E4="原表",驱动复算!U12,G108+H108)</f>
        <v>9521.3391409708</v>
      </c>
      <c r="J108" s="4" t="n">
        <f aca="false">(F108-I108)*(1-情景参数!F4)</f>
        <v>5260.3508590292</v>
      </c>
      <c r="K108" s="4" t="n">
        <f aca="false">偿债原表!F13</f>
        <v>0</v>
      </c>
      <c r="L108" s="4" t="n">
        <f aca="false">偿债原表!G13</f>
        <v>673.2</v>
      </c>
      <c r="M108" s="4" t="n">
        <f aca="false">K108+L108</f>
        <v>673.2</v>
      </c>
      <c r="N108" s="4" t="n">
        <f aca="false">J108-M108</f>
        <v>4587.1508590292</v>
      </c>
      <c r="O108" s="4" t="n">
        <f aca="false">O107+N108</f>
        <v>-1955.0533399973</v>
      </c>
      <c r="P108" s="4" t="n">
        <f aca="false">MAX(0,-(R107+N108))</f>
        <v>0</v>
      </c>
      <c r="Q108" s="4" t="n">
        <f aca="false">Q107+P108</f>
        <v>6894.249</v>
      </c>
      <c r="R108" s="4" t="n">
        <f aca="false">O108+Q108</f>
        <v>4939.1956600027</v>
      </c>
    </row>
    <row r="109" customFormat="false" ht="15" hidden="false" customHeight="false" outlineLevel="0" collapsed="false">
      <c r="A109" s="2" t="s">
        <v>42</v>
      </c>
      <c r="B109" s="2" t="s">
        <v>40</v>
      </c>
      <c r="C109" s="12" t="n">
        <v>12</v>
      </c>
      <c r="D109" s="12" t="n">
        <v>2035</v>
      </c>
      <c r="E109" s="4" t="n">
        <f aca="false">INDEX(驱动复算!A13:X13,1,情景参数!B4)</f>
        <v>15455.6</v>
      </c>
      <c r="F109" s="4" t="n">
        <f aca="false">E109*(1-情景参数!D4)</f>
        <v>15455.6</v>
      </c>
      <c r="G109" s="4" t="n">
        <f aca="false">IF(情景参数!E4="原表",驱动复算!U13-驱动复算!W13,驱动复算!P13)</f>
        <v>9045.72228019992</v>
      </c>
      <c r="H109" s="4" t="n">
        <f aca="false">IF(情景参数!E4="原表",驱动复算!W13,F109*情景参数!C4)</f>
        <v>772.78</v>
      </c>
      <c r="I109" s="4" t="n">
        <f aca="false">IF(情景参数!E4="原表",驱动复算!U13,G109+H109)</f>
        <v>9818.50228019992</v>
      </c>
      <c r="J109" s="4" t="n">
        <f aca="false">(F109-I109)*(1-情景参数!F4)</f>
        <v>5637.09771980008</v>
      </c>
      <c r="K109" s="4" t="n">
        <f aca="false">偿债原表!F14</f>
        <v>0</v>
      </c>
      <c r="L109" s="4" t="n">
        <f aca="false">偿债原表!G14</f>
        <v>673.2</v>
      </c>
      <c r="M109" s="4" t="n">
        <f aca="false">K109+L109</f>
        <v>673.2</v>
      </c>
      <c r="N109" s="4" t="n">
        <f aca="false">J109-M109</f>
        <v>4963.89771980008</v>
      </c>
      <c r="O109" s="4" t="n">
        <f aca="false">O108+N109</f>
        <v>3008.84437980278</v>
      </c>
      <c r="P109" s="4" t="n">
        <f aca="false">MAX(0,-(R108+N109))</f>
        <v>0</v>
      </c>
      <c r="Q109" s="4" t="n">
        <f aca="false">Q108+P109</f>
        <v>6894.249</v>
      </c>
      <c r="R109" s="4" t="n">
        <f aca="false">O109+Q109</f>
        <v>9903.09337980278</v>
      </c>
    </row>
    <row r="110" customFormat="false" ht="15" hidden="false" customHeight="false" outlineLevel="0" collapsed="false">
      <c r="A110" s="2" t="s">
        <v>42</v>
      </c>
      <c r="B110" s="2" t="s">
        <v>40</v>
      </c>
      <c r="C110" s="12" t="n">
        <v>13</v>
      </c>
      <c r="D110" s="12" t="n">
        <v>2036</v>
      </c>
      <c r="E110" s="4" t="n">
        <f aca="false">INDEX(驱动复算!A14:X14,1,情景参数!B4)</f>
        <v>16163.21</v>
      </c>
      <c r="F110" s="4" t="n">
        <f aca="false">E110*(1-情景参数!D4)</f>
        <v>16163.21</v>
      </c>
      <c r="G110" s="4" t="n">
        <f aca="false">IF(情景参数!E4="原表",驱动复算!U14-驱动复算!W14,驱动复算!P14)</f>
        <v>9317.09394860592</v>
      </c>
      <c r="H110" s="4" t="n">
        <f aca="false">IF(情景参数!E4="原表",驱动复算!W14,F110*情景参数!C4)</f>
        <v>808.1605</v>
      </c>
      <c r="I110" s="4" t="n">
        <f aca="false">IF(情景参数!E4="原表",驱动复算!U14,G110+H110)</f>
        <v>10125.2544486059</v>
      </c>
      <c r="J110" s="4" t="n">
        <f aca="false">(F110-I110)*(1-情景参数!F4)</f>
        <v>6037.95555139408</v>
      </c>
      <c r="K110" s="4" t="n">
        <f aca="false">偿债原表!F15</f>
        <v>0</v>
      </c>
      <c r="L110" s="4" t="n">
        <f aca="false">偿债原表!G15</f>
        <v>673.2</v>
      </c>
      <c r="M110" s="4" t="n">
        <f aca="false">K110+L110</f>
        <v>673.2</v>
      </c>
      <c r="N110" s="4" t="n">
        <f aca="false">J110-M110</f>
        <v>5364.75555139408</v>
      </c>
      <c r="O110" s="4" t="n">
        <f aca="false">O109+N110</f>
        <v>8373.59993119686</v>
      </c>
      <c r="P110" s="4" t="n">
        <f aca="false">MAX(0,-(R109+N110))</f>
        <v>0</v>
      </c>
      <c r="Q110" s="4" t="n">
        <f aca="false">Q109+P110</f>
        <v>6894.249</v>
      </c>
      <c r="R110" s="4" t="n">
        <f aca="false">O110+Q110</f>
        <v>15267.8489311969</v>
      </c>
    </row>
    <row r="111" customFormat="false" ht="15" hidden="false" customHeight="false" outlineLevel="0" collapsed="false">
      <c r="A111" s="2" t="s">
        <v>42</v>
      </c>
      <c r="B111" s="2" t="s">
        <v>40</v>
      </c>
      <c r="C111" s="12" t="n">
        <v>14</v>
      </c>
      <c r="D111" s="12" t="n">
        <v>2037</v>
      </c>
      <c r="E111" s="4" t="n">
        <f aca="false">INDEX(驱动复算!A15:X15,1,情景参数!B4)</f>
        <v>16906.2</v>
      </c>
      <c r="F111" s="4" t="n">
        <f aca="false">E111*(1-情景参数!D4)</f>
        <v>16906.2</v>
      </c>
      <c r="G111" s="4" t="n">
        <f aca="false">IF(情景参数!E4="原表",驱动复算!U15-驱动复算!W15,驱动复算!P15)</f>
        <v>9596.6067670641</v>
      </c>
      <c r="H111" s="4" t="n">
        <f aca="false">IF(情景参数!E4="原表",驱动复算!W15,F111*情景参数!C4)</f>
        <v>845.31</v>
      </c>
      <c r="I111" s="4" t="n">
        <f aca="false">IF(情景参数!E4="原表",驱动复算!U15,G111+H111)</f>
        <v>10441.9167670641</v>
      </c>
      <c r="J111" s="4" t="n">
        <f aca="false">(F111-I111)*(1-情景参数!F4)</f>
        <v>6464.2832329359</v>
      </c>
      <c r="K111" s="4" t="n">
        <f aca="false">偿债原表!F16</f>
        <v>1000</v>
      </c>
      <c r="L111" s="4" t="n">
        <f aca="false">偿债原表!G16</f>
        <v>673.2</v>
      </c>
      <c r="M111" s="4" t="n">
        <f aca="false">K111+L111</f>
        <v>1673.2</v>
      </c>
      <c r="N111" s="4" t="n">
        <f aca="false">J111-M111</f>
        <v>4791.08323293591</v>
      </c>
      <c r="O111" s="4" t="n">
        <f aca="false">O110+N111</f>
        <v>13164.6831641328</v>
      </c>
      <c r="P111" s="4" t="n">
        <f aca="false">MAX(0,-(R110+N111))</f>
        <v>0</v>
      </c>
      <c r="Q111" s="4" t="n">
        <f aca="false">Q110+P111</f>
        <v>6894.249</v>
      </c>
      <c r="R111" s="4" t="n">
        <f aca="false">O111+Q111</f>
        <v>20058.9321641328</v>
      </c>
    </row>
    <row r="112" customFormat="false" ht="15" hidden="false" customHeight="false" outlineLevel="0" collapsed="false">
      <c r="A112" s="2" t="s">
        <v>42</v>
      </c>
      <c r="B112" s="2" t="s">
        <v>40</v>
      </c>
      <c r="C112" s="12" t="n">
        <v>15</v>
      </c>
      <c r="D112" s="12" t="n">
        <v>2038</v>
      </c>
      <c r="E112" s="4" t="n">
        <f aca="false">INDEX(驱动复算!A16:X16,1,情景参数!B4)</f>
        <v>17546.68</v>
      </c>
      <c r="F112" s="4" t="n">
        <f aca="false">E112*(1-情景参数!D4)</f>
        <v>17546.68</v>
      </c>
      <c r="G112" s="4" t="n">
        <f aca="false">IF(情景参数!E4="原表",驱动复算!U16-驱动复算!W16,驱动复算!P16)</f>
        <v>9884.50497007602</v>
      </c>
      <c r="H112" s="4" t="n">
        <f aca="false">IF(情景参数!E4="原表",驱动复算!W16,F112*情景参数!C4)</f>
        <v>877.334</v>
      </c>
      <c r="I112" s="4" t="n">
        <f aca="false">IF(情景参数!E4="原表",驱动复算!U16,G112+H112)</f>
        <v>10761.838970076</v>
      </c>
      <c r="J112" s="4" t="n">
        <f aca="false">(F112-I112)*(1-情景参数!F4)</f>
        <v>6784.84102992398</v>
      </c>
      <c r="K112" s="4" t="n">
        <f aca="false">偿债原表!F17</f>
        <v>0</v>
      </c>
      <c r="L112" s="4" t="n">
        <f aca="false">偿债原表!G17</f>
        <v>644</v>
      </c>
      <c r="M112" s="4" t="n">
        <f aca="false">K112+L112</f>
        <v>644</v>
      </c>
      <c r="N112" s="4" t="n">
        <f aca="false">J112-M112</f>
        <v>6140.84102992398</v>
      </c>
      <c r="O112" s="4" t="n">
        <f aca="false">O111+N112</f>
        <v>19305.5241940568</v>
      </c>
      <c r="P112" s="4" t="n">
        <f aca="false">MAX(0,-(R111+N112))</f>
        <v>0</v>
      </c>
      <c r="Q112" s="4" t="n">
        <f aca="false">Q111+P112</f>
        <v>6894.249</v>
      </c>
      <c r="R112" s="4" t="n">
        <f aca="false">O112+Q112</f>
        <v>26199.7731940568</v>
      </c>
    </row>
    <row r="113" customFormat="false" ht="15" hidden="false" customHeight="false" outlineLevel="0" collapsed="false">
      <c r="A113" s="2" t="s">
        <v>42</v>
      </c>
      <c r="B113" s="2" t="s">
        <v>40</v>
      </c>
      <c r="C113" s="12" t="n">
        <v>16</v>
      </c>
      <c r="D113" s="12" t="n">
        <v>2039</v>
      </c>
      <c r="E113" s="4" t="n">
        <f aca="false">INDEX(驱动复算!A17:X17,1,情景参数!B4)</f>
        <v>17864.98</v>
      </c>
      <c r="F113" s="4" t="n">
        <f aca="false">E113*(1-情景参数!D4)</f>
        <v>17864.98</v>
      </c>
      <c r="G113" s="4" t="n">
        <f aca="false">IF(情景参数!E4="原表",驱动复算!U17-驱动复算!W17,驱动复算!P17)</f>
        <v>10181.0401191783</v>
      </c>
      <c r="H113" s="4" t="n">
        <f aca="false">IF(情景参数!E4="原表",驱动复算!W17,F113*情景参数!C4)</f>
        <v>893.249</v>
      </c>
      <c r="I113" s="4" t="n">
        <f aca="false">IF(情景参数!E4="原表",驱动复算!U17,G113+H113)</f>
        <v>11074.2891191783</v>
      </c>
      <c r="J113" s="4" t="n">
        <f aca="false">(F113-I113)*(1-情景参数!F4)</f>
        <v>6790.6908808217</v>
      </c>
      <c r="K113" s="4" t="n">
        <f aca="false">偿债原表!F18</f>
        <v>0</v>
      </c>
      <c r="L113" s="4" t="n">
        <f aca="false">偿债原表!G18</f>
        <v>644</v>
      </c>
      <c r="M113" s="4" t="n">
        <f aca="false">K113+L113</f>
        <v>644</v>
      </c>
      <c r="N113" s="4" t="n">
        <f aca="false">J113-M113</f>
        <v>6146.6908808217</v>
      </c>
      <c r="O113" s="4" t="n">
        <f aca="false">O112+N113</f>
        <v>25452.2150748784</v>
      </c>
      <c r="P113" s="4" t="n">
        <f aca="false">MAX(0,-(R112+N113))</f>
        <v>0</v>
      </c>
      <c r="Q113" s="4" t="n">
        <f aca="false">Q112+P113</f>
        <v>6894.249</v>
      </c>
      <c r="R113" s="4" t="n">
        <f aca="false">O113+Q113</f>
        <v>32346.4640748784</v>
      </c>
    </row>
    <row r="114" customFormat="false" ht="15" hidden="false" customHeight="false" outlineLevel="0" collapsed="false">
      <c r="A114" s="2" t="s">
        <v>42</v>
      </c>
      <c r="B114" s="2" t="s">
        <v>40</v>
      </c>
      <c r="C114" s="12" t="n">
        <v>17</v>
      </c>
      <c r="D114" s="12" t="n">
        <v>2040</v>
      </c>
      <c r="E114" s="4" t="n">
        <f aca="false">INDEX(驱动复算!A18:X18,1,情景参数!B4)</f>
        <v>18189.64</v>
      </c>
      <c r="F114" s="4" t="n">
        <f aca="false">E114*(1-情景参数!D4)</f>
        <v>18189.64</v>
      </c>
      <c r="G114" s="4" t="n">
        <f aca="false">IF(情景参数!E4="原表",驱动复算!U18-驱动复算!W18,驱动复算!P18)</f>
        <v>10486.4713227536</v>
      </c>
      <c r="H114" s="4" t="n">
        <f aca="false">IF(情景参数!E4="原表",驱动复算!W18,F114*情景参数!C4)</f>
        <v>909.482</v>
      </c>
      <c r="I114" s="4" t="n">
        <f aca="false">IF(情景参数!E4="原表",驱动复算!U18,G114+H114)</f>
        <v>11395.9533227536</v>
      </c>
      <c r="J114" s="4" t="n">
        <f aca="false">(F114-I114)*(1-情景参数!F4)</f>
        <v>6793.68667724635</v>
      </c>
      <c r="K114" s="4" t="n">
        <f aca="false">偿债原表!F19</f>
        <v>0</v>
      </c>
      <c r="L114" s="4" t="n">
        <f aca="false">偿债原表!G19</f>
        <v>644</v>
      </c>
      <c r="M114" s="4" t="n">
        <f aca="false">K114+L114</f>
        <v>644</v>
      </c>
      <c r="N114" s="4" t="n">
        <f aca="false">J114-M114</f>
        <v>6149.68667724635</v>
      </c>
      <c r="O114" s="4" t="n">
        <f aca="false">O113+N114</f>
        <v>31601.9017521248</v>
      </c>
      <c r="P114" s="4" t="n">
        <f aca="false">MAX(0,-(R113+N114))</f>
        <v>0</v>
      </c>
      <c r="Q114" s="4" t="n">
        <f aca="false">Q113+P114</f>
        <v>6894.249</v>
      </c>
      <c r="R114" s="4" t="n">
        <f aca="false">O114+Q114</f>
        <v>38496.1507521248</v>
      </c>
    </row>
    <row r="115" customFormat="false" ht="15" hidden="false" customHeight="false" outlineLevel="0" collapsed="false">
      <c r="A115" s="2" t="s">
        <v>42</v>
      </c>
      <c r="B115" s="2" t="s">
        <v>40</v>
      </c>
      <c r="C115" s="12" t="n">
        <v>18</v>
      </c>
      <c r="D115" s="12" t="n">
        <v>2041</v>
      </c>
      <c r="E115" s="4" t="n">
        <f aca="false">INDEX(驱动复算!A19:X19,1,情景参数!B4)</f>
        <v>18520.8</v>
      </c>
      <c r="F115" s="4" t="n">
        <f aca="false">E115*(1-情景参数!D4)</f>
        <v>18520.8</v>
      </c>
      <c r="G115" s="4" t="n">
        <f aca="false">IF(情景参数!E4="原表",驱动复算!U19-驱动复算!W19,驱动复算!P19)</f>
        <v>10801.0654624363</v>
      </c>
      <c r="H115" s="4" t="n">
        <f aca="false">IF(情景参数!E4="原表",驱动复算!W19,F115*情景参数!C4)</f>
        <v>926.04</v>
      </c>
      <c r="I115" s="4" t="n">
        <f aca="false">IF(情景参数!E4="原表",驱动复算!U19,G115+H115)</f>
        <v>11727.1054624363</v>
      </c>
      <c r="J115" s="4" t="n">
        <f aca="false">(F115-I115)*(1-情景参数!F4)</f>
        <v>6793.69453756374</v>
      </c>
      <c r="K115" s="4" t="n">
        <f aca="false">偿债原表!F20</f>
        <v>20000</v>
      </c>
      <c r="L115" s="4" t="n">
        <f aca="false">偿债原表!G20</f>
        <v>644</v>
      </c>
      <c r="M115" s="4" t="n">
        <f aca="false">K115+L115</f>
        <v>20644</v>
      </c>
      <c r="N115" s="4" t="n">
        <f aca="false">J115-M115</f>
        <v>-13850.3054624363</v>
      </c>
      <c r="O115" s="4" t="n">
        <f aca="false">O114+N115</f>
        <v>17751.5962896885</v>
      </c>
      <c r="P115" s="4" t="n">
        <f aca="false">MAX(0,-(R114+N115))</f>
        <v>0</v>
      </c>
      <c r="Q115" s="4" t="n">
        <f aca="false">Q114+P115</f>
        <v>6894.249</v>
      </c>
      <c r="R115" s="4" t="n">
        <f aca="false">O115+Q115</f>
        <v>24645.8452896885</v>
      </c>
    </row>
    <row r="116" customFormat="false" ht="15" hidden="false" customHeight="false" outlineLevel="0" collapsed="false">
      <c r="A116" s="2" t="s">
        <v>43</v>
      </c>
      <c r="B116" s="2" t="s">
        <v>39</v>
      </c>
      <c r="C116" s="12" t="n">
        <v>0</v>
      </c>
      <c r="D116" s="13" t="s">
        <v>248</v>
      </c>
      <c r="E116" s="4" t="n">
        <f aca="false">0</f>
        <v>0</v>
      </c>
      <c r="F116" s="4" t="n">
        <f aca="false">E116*(1-情景参数!D5)</f>
        <v>0</v>
      </c>
      <c r="G116" s="4" t="n">
        <f aca="false">0</f>
        <v>0</v>
      </c>
      <c r="H116" s="4" t="n">
        <f aca="false">0</f>
        <v>0</v>
      </c>
      <c r="I116" s="4" t="n">
        <f aca="false">0</f>
        <v>0</v>
      </c>
      <c r="J116" s="4" t="n">
        <f aca="false">(F116-I116)*(1-情景参数!F5)</f>
        <v>0</v>
      </c>
      <c r="K116" s="4" t="n">
        <f aca="false">偿债原表!C2</f>
        <v>0</v>
      </c>
      <c r="L116" s="4" t="n">
        <f aca="false">偿债原表!D2</f>
        <v>1374.2</v>
      </c>
      <c r="M116" s="4" t="n">
        <f aca="false">K116+L116</f>
        <v>1374.2</v>
      </c>
      <c r="N116" s="4" t="n">
        <f aca="false">J116-M116</f>
        <v>-1374.2</v>
      </c>
      <c r="O116" s="4" t="n">
        <f aca="false">N116</f>
        <v>-1374.2</v>
      </c>
      <c r="P116" s="4" t="n">
        <f aca="false">MAX(0,-N116)</f>
        <v>1374.2</v>
      </c>
      <c r="Q116" s="4" t="n">
        <f aca="false">P116</f>
        <v>1374.2</v>
      </c>
      <c r="R116" s="4" t="n">
        <f aca="false">O116+Q116</f>
        <v>0</v>
      </c>
    </row>
    <row r="117" customFormat="false" ht="15" hidden="false" customHeight="false" outlineLevel="0" collapsed="false">
      <c r="A117" s="2" t="s">
        <v>43</v>
      </c>
      <c r="B117" s="2" t="s">
        <v>39</v>
      </c>
      <c r="C117" s="12" t="n">
        <v>1</v>
      </c>
      <c r="D117" s="12" t="n">
        <v>2024</v>
      </c>
      <c r="E117" s="4" t="n">
        <f aca="false">INDEX(驱动复算!A2:X2,1,情景参数!B5)</f>
        <v>0</v>
      </c>
      <c r="F117" s="4" t="n">
        <f aca="false">E117*(1-情景参数!D5)</f>
        <v>0</v>
      </c>
      <c r="G117" s="4" t="n">
        <f aca="false">IF(情景参数!E5="原表",驱动复算!U2-驱动复算!W2,驱动复算!P2)</f>
        <v>0</v>
      </c>
      <c r="H117" s="4" t="n">
        <f aca="false">IF(情景参数!E5="原表",驱动复算!W2,F117*情景参数!C5)</f>
        <v>0</v>
      </c>
      <c r="I117" s="4" t="n">
        <f aca="false">IF(情景参数!E5="原表",驱动复算!U2,G117+H117)</f>
        <v>0</v>
      </c>
      <c r="J117" s="4" t="n">
        <f aca="false">(F117-I117)*(1-情景参数!F5)</f>
        <v>0</v>
      </c>
      <c r="K117" s="4" t="n">
        <f aca="false">偿债原表!C3</f>
        <v>0</v>
      </c>
      <c r="L117" s="4" t="n">
        <f aca="false">偿债原表!D3</f>
        <v>1093.2</v>
      </c>
      <c r="M117" s="4" t="n">
        <f aca="false">K117+L117</f>
        <v>1093.2</v>
      </c>
      <c r="N117" s="4" t="n">
        <f aca="false">J117-M117</f>
        <v>-1093.2</v>
      </c>
      <c r="O117" s="4" t="n">
        <f aca="false">O116+N117</f>
        <v>-2467.4</v>
      </c>
      <c r="P117" s="4" t="n">
        <f aca="false">MAX(0,-(R116+N117))</f>
        <v>1093.2</v>
      </c>
      <c r="Q117" s="4" t="n">
        <f aca="false">Q116+P117</f>
        <v>2467.4</v>
      </c>
      <c r="R117" s="4" t="n">
        <f aca="false">O117+Q117</f>
        <v>0</v>
      </c>
    </row>
    <row r="118" customFormat="false" ht="15" hidden="false" customHeight="false" outlineLevel="0" collapsed="false">
      <c r="A118" s="2" t="s">
        <v>43</v>
      </c>
      <c r="B118" s="2" t="s">
        <v>39</v>
      </c>
      <c r="C118" s="12" t="n">
        <v>2</v>
      </c>
      <c r="D118" s="12" t="n">
        <v>2025</v>
      </c>
      <c r="E118" s="4" t="n">
        <f aca="false">INDEX(驱动复算!A3:X3,1,情景参数!B5)</f>
        <v>0</v>
      </c>
      <c r="F118" s="4" t="n">
        <f aca="false">E118*(1-情景参数!D5)</f>
        <v>0</v>
      </c>
      <c r="G118" s="4" t="n">
        <f aca="false">IF(情景参数!E5="原表",驱动复算!U3-驱动复算!W3,驱动复算!P3)</f>
        <v>0</v>
      </c>
      <c r="H118" s="4" t="n">
        <f aca="false">IF(情景参数!E5="原表",驱动复算!W3,F118*情景参数!C5)</f>
        <v>0</v>
      </c>
      <c r="I118" s="4" t="n">
        <f aca="false">IF(情景参数!E5="原表",驱动复算!U3,G118+H118)</f>
        <v>0</v>
      </c>
      <c r="J118" s="4" t="n">
        <f aca="false">(F118-I118)*(1-情景参数!F5)</f>
        <v>0</v>
      </c>
      <c r="K118" s="4" t="n">
        <f aca="false">偿债原表!C4</f>
        <v>0</v>
      </c>
      <c r="L118" s="4" t="n">
        <f aca="false">偿债原表!D4</f>
        <v>1093.2</v>
      </c>
      <c r="M118" s="4" t="n">
        <f aca="false">K118+L118</f>
        <v>1093.2</v>
      </c>
      <c r="N118" s="4" t="n">
        <f aca="false">J118-M118</f>
        <v>-1093.2</v>
      </c>
      <c r="O118" s="4" t="n">
        <f aca="false">O117+N118</f>
        <v>-3560.6</v>
      </c>
      <c r="P118" s="4" t="n">
        <f aca="false">MAX(0,-(R117+N118))</f>
        <v>1093.2</v>
      </c>
      <c r="Q118" s="4" t="n">
        <f aca="false">Q117+P118</f>
        <v>3560.6</v>
      </c>
      <c r="R118" s="4" t="n">
        <f aca="false">O118+Q118</f>
        <v>0</v>
      </c>
    </row>
    <row r="119" customFormat="false" ht="15" hidden="false" customHeight="false" outlineLevel="0" collapsed="false">
      <c r="A119" s="2" t="s">
        <v>43</v>
      </c>
      <c r="B119" s="2" t="s">
        <v>39</v>
      </c>
      <c r="C119" s="12" t="n">
        <v>3</v>
      </c>
      <c r="D119" s="12" t="n">
        <v>2026</v>
      </c>
      <c r="E119" s="4" t="n">
        <f aca="false">INDEX(驱动复算!A4:X4,1,情景参数!B5)</f>
        <v>0</v>
      </c>
      <c r="F119" s="4" t="n">
        <f aca="false">E119*(1-情景参数!D5)</f>
        <v>0</v>
      </c>
      <c r="G119" s="4" t="n">
        <f aca="false">IF(情景参数!E5="原表",驱动复算!U4-驱动复算!W4,驱动复算!P4)</f>
        <v>0</v>
      </c>
      <c r="H119" s="4" t="n">
        <f aca="false">IF(情景参数!E5="原表",驱动复算!W4,F119*情景参数!C5)</f>
        <v>0</v>
      </c>
      <c r="I119" s="4" t="n">
        <f aca="false">IF(情景参数!E5="原表",驱动复算!U4,G119+H119)</f>
        <v>0</v>
      </c>
      <c r="J119" s="4" t="n">
        <f aca="false">(F119-I119)*(1-情景参数!F5)</f>
        <v>0</v>
      </c>
      <c r="K119" s="4" t="n">
        <f aca="false">偿债原表!C5</f>
        <v>0</v>
      </c>
      <c r="L119" s="4" t="n">
        <f aca="false">偿债原表!D5</f>
        <v>1093.2</v>
      </c>
      <c r="M119" s="4" t="n">
        <f aca="false">K119+L119</f>
        <v>1093.2</v>
      </c>
      <c r="N119" s="4" t="n">
        <f aca="false">J119-M119</f>
        <v>-1093.2</v>
      </c>
      <c r="O119" s="4" t="n">
        <f aca="false">O118+N119</f>
        <v>-4653.8</v>
      </c>
      <c r="P119" s="4" t="n">
        <f aca="false">MAX(0,-(R118+N119))</f>
        <v>1093.2</v>
      </c>
      <c r="Q119" s="4" t="n">
        <f aca="false">Q118+P119</f>
        <v>4653.8</v>
      </c>
      <c r="R119" s="4" t="n">
        <f aca="false">O119+Q119</f>
        <v>0</v>
      </c>
    </row>
    <row r="120" customFormat="false" ht="15" hidden="false" customHeight="false" outlineLevel="0" collapsed="false">
      <c r="A120" s="2" t="s">
        <v>43</v>
      </c>
      <c r="B120" s="2" t="s">
        <v>39</v>
      </c>
      <c r="C120" s="12" t="n">
        <v>4</v>
      </c>
      <c r="D120" s="12" t="n">
        <v>2027</v>
      </c>
      <c r="E120" s="4" t="n">
        <f aca="false">INDEX(驱动复算!A5:X5,1,情景参数!B5)</f>
        <v>0</v>
      </c>
      <c r="F120" s="4" t="n">
        <f aca="false">E120*(1-情景参数!D5)</f>
        <v>0</v>
      </c>
      <c r="G120" s="4" t="n">
        <f aca="false">IF(情景参数!E5="原表",驱动复算!U5-驱动复算!W5,驱动复算!P5)</f>
        <v>0</v>
      </c>
      <c r="H120" s="4" t="n">
        <f aca="false">IF(情景参数!E5="原表",驱动复算!W5,F120*情景参数!C5)</f>
        <v>0</v>
      </c>
      <c r="I120" s="4" t="n">
        <f aca="false">IF(情景参数!E5="原表",驱动复算!U5,G120+H120)</f>
        <v>0</v>
      </c>
      <c r="J120" s="4" t="n">
        <f aca="false">(F120-I120)*(1-情景参数!F5)</f>
        <v>0</v>
      </c>
      <c r="K120" s="4" t="n">
        <f aca="false">偿债原表!C6</f>
        <v>0</v>
      </c>
      <c r="L120" s="4" t="n">
        <f aca="false">偿债原表!D6</f>
        <v>1093.2</v>
      </c>
      <c r="M120" s="4" t="n">
        <f aca="false">K120+L120</f>
        <v>1093.2</v>
      </c>
      <c r="N120" s="4" t="n">
        <f aca="false">J120-M120</f>
        <v>-1093.2</v>
      </c>
      <c r="O120" s="4" t="n">
        <f aca="false">O119+N120</f>
        <v>-5747</v>
      </c>
      <c r="P120" s="4" t="n">
        <f aca="false">MAX(0,-(R119+N120))</f>
        <v>1093.2</v>
      </c>
      <c r="Q120" s="4" t="n">
        <f aca="false">Q119+P120</f>
        <v>5747</v>
      </c>
      <c r="R120" s="4" t="n">
        <f aca="false">O120+Q120</f>
        <v>0</v>
      </c>
    </row>
    <row r="121" customFormat="false" ht="15" hidden="false" customHeight="false" outlineLevel="0" collapsed="false">
      <c r="A121" s="2" t="s">
        <v>43</v>
      </c>
      <c r="B121" s="2" t="s">
        <v>39</v>
      </c>
      <c r="C121" s="12" t="n">
        <v>5</v>
      </c>
      <c r="D121" s="12" t="n">
        <v>2028</v>
      </c>
      <c r="E121" s="4" t="n">
        <f aca="false">INDEX(驱动复算!A6:X6,1,情景参数!B5)</f>
        <v>9076.9</v>
      </c>
      <c r="F121" s="4" t="n">
        <f aca="false">E121*(1-情景参数!D5)</f>
        <v>9076.9</v>
      </c>
      <c r="G121" s="4" t="n">
        <f aca="false">IF(情景参数!E5="原表",驱动复算!U6-驱动复算!W6,驱动复算!P6)</f>
        <v>7355</v>
      </c>
      <c r="H121" s="4" t="n">
        <f aca="false">IF(情景参数!E5="原表",驱动复算!W6,F121*情景参数!C5)</f>
        <v>181.538</v>
      </c>
      <c r="I121" s="4" t="n">
        <f aca="false">IF(情景参数!E5="原表",驱动复算!U6,G121+H121)</f>
        <v>7536.538</v>
      </c>
      <c r="J121" s="4" t="n">
        <f aca="false">(F121-I121)*(1-情景参数!F5)</f>
        <v>1540.362</v>
      </c>
      <c r="K121" s="4" t="n">
        <f aca="false">偿债原表!C7</f>
        <v>11000</v>
      </c>
      <c r="L121" s="4" t="n">
        <f aca="false">偿债原表!D7</f>
        <v>1093.2</v>
      </c>
      <c r="M121" s="4" t="n">
        <f aca="false">K121+L121</f>
        <v>12093.2</v>
      </c>
      <c r="N121" s="4" t="n">
        <f aca="false">J121-M121</f>
        <v>-10552.838</v>
      </c>
      <c r="O121" s="4" t="n">
        <f aca="false">O120+N121</f>
        <v>-16299.838</v>
      </c>
      <c r="P121" s="4" t="n">
        <f aca="false">MAX(0,-(R120+N121))</f>
        <v>10552.838</v>
      </c>
      <c r="Q121" s="4" t="n">
        <f aca="false">Q120+P121</f>
        <v>16299.838</v>
      </c>
      <c r="R121" s="4" t="n">
        <f aca="false">O121+Q121</f>
        <v>0</v>
      </c>
    </row>
    <row r="122" customFormat="false" ht="15" hidden="false" customHeight="false" outlineLevel="0" collapsed="false">
      <c r="A122" s="2" t="s">
        <v>43</v>
      </c>
      <c r="B122" s="2" t="s">
        <v>39</v>
      </c>
      <c r="C122" s="12" t="n">
        <v>6</v>
      </c>
      <c r="D122" s="12" t="n">
        <v>2029</v>
      </c>
      <c r="E122" s="4" t="n">
        <f aca="false">INDEX(驱动复算!A7:X7,1,情景参数!B5)</f>
        <v>9965.51</v>
      </c>
      <c r="F122" s="4" t="n">
        <f aca="false">E122*(1-情景参数!D5)</f>
        <v>9965.51</v>
      </c>
      <c r="G122" s="4" t="n">
        <f aca="false">IF(情景参数!E5="原表",驱动复算!U7-驱动复算!W7,驱动复算!P7)</f>
        <v>7575.65</v>
      </c>
      <c r="H122" s="4" t="n">
        <f aca="false">IF(情景参数!E5="原表",驱动复算!W7,F122*情景参数!C5)</f>
        <v>199.3102</v>
      </c>
      <c r="I122" s="4" t="n">
        <f aca="false">IF(情景参数!E5="原表",驱动复算!U7,G122+H122)</f>
        <v>7774.9602</v>
      </c>
      <c r="J122" s="4" t="n">
        <f aca="false">(F122-I122)*(1-情景参数!F5)</f>
        <v>2190.5498</v>
      </c>
      <c r="K122" s="4" t="n">
        <f aca="false">偿债原表!C8</f>
        <v>0</v>
      </c>
      <c r="L122" s="4" t="n">
        <f aca="false">偿债原表!D8</f>
        <v>730.2</v>
      </c>
      <c r="M122" s="4" t="n">
        <f aca="false">K122+L122</f>
        <v>730.2</v>
      </c>
      <c r="N122" s="4" t="n">
        <f aca="false">J122-M122</f>
        <v>1460.3498</v>
      </c>
      <c r="O122" s="4" t="n">
        <f aca="false">O121+N122</f>
        <v>-14839.4882</v>
      </c>
      <c r="P122" s="4" t="n">
        <f aca="false">MAX(0,-(R121+N122))</f>
        <v>0</v>
      </c>
      <c r="Q122" s="4" t="n">
        <f aca="false">Q121+P122</f>
        <v>16299.838</v>
      </c>
      <c r="R122" s="4" t="n">
        <f aca="false">O122+Q122</f>
        <v>1460.3498</v>
      </c>
    </row>
    <row r="123" customFormat="false" ht="15" hidden="false" customHeight="false" outlineLevel="0" collapsed="false">
      <c r="A123" s="2" t="s">
        <v>43</v>
      </c>
      <c r="B123" s="2" t="s">
        <v>39</v>
      </c>
      <c r="C123" s="12" t="n">
        <v>7</v>
      </c>
      <c r="D123" s="12" t="n">
        <v>2030</v>
      </c>
      <c r="E123" s="4" t="n">
        <f aca="false">INDEX(驱动复算!A8:X8,1,情景参数!B5)</f>
        <v>10884.01</v>
      </c>
      <c r="F123" s="4" t="n">
        <f aca="false">E123*(1-情景参数!D5)</f>
        <v>10884.01</v>
      </c>
      <c r="G123" s="4" t="n">
        <f aca="false">IF(情景参数!E5="原表",驱动复算!U8-驱动复算!W8,驱动复算!P8)</f>
        <v>7802.9195</v>
      </c>
      <c r="H123" s="4" t="n">
        <f aca="false">IF(情景参数!E5="原表",驱动复算!W8,F123*情景参数!C5)</f>
        <v>217.6802</v>
      </c>
      <c r="I123" s="4" t="n">
        <f aca="false">IF(情景参数!E5="原表",驱动复算!U8,G123+H123)</f>
        <v>8020.5997</v>
      </c>
      <c r="J123" s="4" t="n">
        <f aca="false">(F123-I123)*(1-情景参数!F5)</f>
        <v>2863.4103</v>
      </c>
      <c r="K123" s="4" t="n">
        <f aca="false">偿债原表!C9</f>
        <v>0</v>
      </c>
      <c r="L123" s="4" t="n">
        <f aca="false">偿债原表!D9</f>
        <v>730.2</v>
      </c>
      <c r="M123" s="4" t="n">
        <f aca="false">K123+L123</f>
        <v>730.2</v>
      </c>
      <c r="N123" s="4" t="n">
        <f aca="false">J123-M123</f>
        <v>2133.2103</v>
      </c>
      <c r="O123" s="4" t="n">
        <f aca="false">O122+N123</f>
        <v>-12706.2779</v>
      </c>
      <c r="P123" s="4" t="n">
        <f aca="false">MAX(0,-(R122+N123))</f>
        <v>0</v>
      </c>
      <c r="Q123" s="4" t="n">
        <f aca="false">Q122+P123</f>
        <v>16299.838</v>
      </c>
      <c r="R123" s="4" t="n">
        <f aca="false">O123+Q123</f>
        <v>3593.5601</v>
      </c>
    </row>
    <row r="124" customFormat="false" ht="15" hidden="false" customHeight="false" outlineLevel="0" collapsed="false">
      <c r="A124" s="2" t="s">
        <v>43</v>
      </c>
      <c r="B124" s="2" t="s">
        <v>39</v>
      </c>
      <c r="C124" s="12" t="n">
        <v>8</v>
      </c>
      <c r="D124" s="12" t="n">
        <v>2031</v>
      </c>
      <c r="E124" s="4" t="n">
        <f aca="false">INDEX(驱动复算!A9:X9,1,情景参数!B5)</f>
        <v>11894.36</v>
      </c>
      <c r="F124" s="4" t="n">
        <f aca="false">E124*(1-情景参数!D5)</f>
        <v>11894.36</v>
      </c>
      <c r="G124" s="4" t="n">
        <f aca="false">IF(情景参数!E5="原表",驱动复算!U9-驱动复算!W9,驱动复算!P9)</f>
        <v>8037.007085</v>
      </c>
      <c r="H124" s="4" t="n">
        <f aca="false">IF(情景参数!E5="原表",驱动复算!W9,F124*情景参数!C5)</f>
        <v>237.8872</v>
      </c>
      <c r="I124" s="4" t="n">
        <f aca="false">IF(情景参数!E5="原表",驱动复算!U9,G124+H124)</f>
        <v>8274.894285</v>
      </c>
      <c r="J124" s="4" t="n">
        <f aca="false">(F124-I124)*(1-情景参数!F5)</f>
        <v>3619.465715</v>
      </c>
      <c r="K124" s="4" t="n">
        <f aca="false">偿债原表!C10</f>
        <v>0</v>
      </c>
      <c r="L124" s="4" t="n">
        <f aca="false">偿债原表!D10</f>
        <v>730.2</v>
      </c>
      <c r="M124" s="4" t="n">
        <f aca="false">K124+L124</f>
        <v>730.2</v>
      </c>
      <c r="N124" s="4" t="n">
        <f aca="false">J124-M124</f>
        <v>2889.265715</v>
      </c>
      <c r="O124" s="4" t="n">
        <f aca="false">O123+N124</f>
        <v>-9817.012185</v>
      </c>
      <c r="P124" s="4" t="n">
        <f aca="false">MAX(0,-(R123+N124))</f>
        <v>0</v>
      </c>
      <c r="Q124" s="4" t="n">
        <f aca="false">Q123+P124</f>
        <v>16299.838</v>
      </c>
      <c r="R124" s="4" t="n">
        <f aca="false">O124+Q124</f>
        <v>6482.825815</v>
      </c>
    </row>
    <row r="125" customFormat="false" ht="15" hidden="false" customHeight="false" outlineLevel="0" collapsed="false">
      <c r="A125" s="2" t="s">
        <v>43</v>
      </c>
      <c r="B125" s="2" t="s">
        <v>39</v>
      </c>
      <c r="C125" s="12" t="n">
        <v>9</v>
      </c>
      <c r="D125" s="12" t="n">
        <v>2032</v>
      </c>
      <c r="E125" s="4" t="n">
        <f aca="false">INDEX(驱动复算!A10:X10,1,情景参数!B5)</f>
        <v>13005.745</v>
      </c>
      <c r="F125" s="4" t="n">
        <f aca="false">E125*(1-情景参数!D5)</f>
        <v>13005.745</v>
      </c>
      <c r="G125" s="4" t="n">
        <f aca="false">IF(情景参数!E5="原表",驱动复算!U10-驱动复算!W10,驱动复算!P10)</f>
        <v>8278.11729755</v>
      </c>
      <c r="H125" s="4" t="n">
        <f aca="false">IF(情景参数!E5="原表",驱动复算!W10,F125*情景参数!C5)</f>
        <v>260.1149</v>
      </c>
      <c r="I125" s="4" t="n">
        <f aca="false">IF(情景参数!E5="原表",驱动复算!U10,G125+H125)</f>
        <v>8538.23219755</v>
      </c>
      <c r="J125" s="4" t="n">
        <f aca="false">(F125-I125)*(1-情景参数!F5)</f>
        <v>4467.51280245</v>
      </c>
      <c r="K125" s="4" t="n">
        <f aca="false">偿债原表!C11</f>
        <v>2000</v>
      </c>
      <c r="L125" s="4" t="n">
        <f aca="false">偿债原表!D11</f>
        <v>730.2</v>
      </c>
      <c r="M125" s="4" t="n">
        <f aca="false">K125+L125</f>
        <v>2730.2</v>
      </c>
      <c r="N125" s="4" t="n">
        <f aca="false">J125-M125</f>
        <v>1737.31280245</v>
      </c>
      <c r="O125" s="4" t="n">
        <f aca="false">O124+N125</f>
        <v>-8079.69938255</v>
      </c>
      <c r="P125" s="4" t="n">
        <f aca="false">MAX(0,-(R124+N125))</f>
        <v>0</v>
      </c>
      <c r="Q125" s="4" t="n">
        <f aca="false">Q124+P125</f>
        <v>16299.838</v>
      </c>
      <c r="R125" s="4" t="n">
        <f aca="false">O125+Q125</f>
        <v>8220.13861745</v>
      </c>
    </row>
    <row r="126" customFormat="false" ht="15" hidden="false" customHeight="false" outlineLevel="0" collapsed="false">
      <c r="A126" s="2" t="s">
        <v>43</v>
      </c>
      <c r="B126" s="2" t="s">
        <v>39</v>
      </c>
      <c r="C126" s="12" t="n">
        <v>10</v>
      </c>
      <c r="D126" s="12" t="n">
        <v>2033</v>
      </c>
      <c r="E126" s="4" t="n">
        <f aca="false">INDEX(驱动复算!A11:X11,1,情景参数!B5)</f>
        <v>13713.89675</v>
      </c>
      <c r="F126" s="4" t="n">
        <f aca="false">E126*(1-情景参数!D5)</f>
        <v>13713.89675</v>
      </c>
      <c r="G126" s="4" t="n">
        <f aca="false">IF(情景参数!E5="原表",驱动复算!U11-驱动复算!W11,驱动复算!P11)</f>
        <v>8526.4608164765</v>
      </c>
      <c r="H126" s="4" t="n">
        <f aca="false">IF(情景参数!E5="原表",驱动复算!W11,F126*情景参数!C5)</f>
        <v>274.277935</v>
      </c>
      <c r="I126" s="4" t="n">
        <f aca="false">IF(情景参数!E5="原表",驱动复算!U11,G126+H126)</f>
        <v>8800.7387514765</v>
      </c>
      <c r="J126" s="4" t="n">
        <f aca="false">(F126-I126)*(1-情景参数!F5)</f>
        <v>4913.1579985235</v>
      </c>
      <c r="K126" s="4" t="n">
        <f aca="false">偿债原表!C12</f>
        <v>0</v>
      </c>
      <c r="L126" s="4" t="n">
        <f aca="false">偿债原表!D12</f>
        <v>673.2</v>
      </c>
      <c r="M126" s="4" t="n">
        <f aca="false">K126+L126</f>
        <v>673.2</v>
      </c>
      <c r="N126" s="4" t="n">
        <f aca="false">J126-M126</f>
        <v>4239.9579985235</v>
      </c>
      <c r="O126" s="4" t="n">
        <f aca="false">O125+N126</f>
        <v>-3839.74138402649</v>
      </c>
      <c r="P126" s="4" t="n">
        <f aca="false">MAX(0,-(R125+N126))</f>
        <v>0</v>
      </c>
      <c r="Q126" s="4" t="n">
        <f aca="false">Q125+P126</f>
        <v>16299.838</v>
      </c>
      <c r="R126" s="4" t="n">
        <f aca="false">O126+Q126</f>
        <v>12460.0966159735</v>
      </c>
    </row>
    <row r="127" customFormat="false" ht="15" hidden="false" customHeight="false" outlineLevel="0" collapsed="false">
      <c r="A127" s="2" t="s">
        <v>43</v>
      </c>
      <c r="B127" s="2" t="s">
        <v>39</v>
      </c>
      <c r="C127" s="12" t="n">
        <v>11</v>
      </c>
      <c r="D127" s="12" t="n">
        <v>2034</v>
      </c>
      <c r="E127" s="4" t="n">
        <f aca="false">INDEX(驱动复算!A12:X12,1,情景参数!B5)</f>
        <v>14355.7215875</v>
      </c>
      <c r="F127" s="4" t="n">
        <f aca="false">E127*(1-情景参数!D5)</f>
        <v>14355.7215875</v>
      </c>
      <c r="G127" s="4" t="n">
        <f aca="false">IF(情景参数!E5="原表",驱动复算!U12-驱动复算!W12,驱动复算!P12)</f>
        <v>8782.2546409708</v>
      </c>
      <c r="H127" s="4" t="n">
        <f aca="false">IF(情景参数!E5="原表",驱动复算!W12,F127*情景参数!C5)</f>
        <v>287.11443175</v>
      </c>
      <c r="I127" s="4" t="n">
        <f aca="false">IF(情景参数!E5="原表",驱动复算!U12,G127+H127)</f>
        <v>9069.3690727208</v>
      </c>
      <c r="J127" s="4" t="n">
        <f aca="false">(F127-I127)*(1-情景参数!F5)</f>
        <v>5286.35251477921</v>
      </c>
      <c r="K127" s="4" t="n">
        <f aca="false">偿债原表!C13</f>
        <v>0</v>
      </c>
      <c r="L127" s="4" t="n">
        <f aca="false">偿债原表!D13</f>
        <v>673.2</v>
      </c>
      <c r="M127" s="4" t="n">
        <f aca="false">K127+L127</f>
        <v>673.2</v>
      </c>
      <c r="N127" s="4" t="n">
        <f aca="false">J127-M127</f>
        <v>4613.15251477921</v>
      </c>
      <c r="O127" s="4" t="n">
        <f aca="false">O126+N127</f>
        <v>773.411130752719</v>
      </c>
      <c r="P127" s="4" t="n">
        <f aca="false">MAX(0,-(R126+N127))</f>
        <v>0</v>
      </c>
      <c r="Q127" s="4" t="n">
        <f aca="false">Q126+P127</f>
        <v>16299.838</v>
      </c>
      <c r="R127" s="4" t="n">
        <f aca="false">O127+Q127</f>
        <v>17073.2491307527</v>
      </c>
    </row>
    <row r="128" customFormat="false" ht="15" hidden="false" customHeight="false" outlineLevel="0" collapsed="false">
      <c r="A128" s="2" t="s">
        <v>43</v>
      </c>
      <c r="B128" s="2" t="s">
        <v>39</v>
      </c>
      <c r="C128" s="12" t="n">
        <v>12</v>
      </c>
      <c r="D128" s="12" t="n">
        <v>2035</v>
      </c>
      <c r="E128" s="4" t="n">
        <f aca="false">INDEX(驱动复算!A13:X13,1,情景参数!B5)</f>
        <v>15029.637666875</v>
      </c>
      <c r="F128" s="4" t="n">
        <f aca="false">E128*(1-情景参数!D5)</f>
        <v>15029.637666875</v>
      </c>
      <c r="G128" s="4" t="n">
        <f aca="false">IF(情景参数!E5="原表",驱动复算!U13-驱动复算!W13,驱动复算!P13)</f>
        <v>9045.72228019992</v>
      </c>
      <c r="H128" s="4" t="n">
        <f aca="false">IF(情景参数!E5="原表",驱动复算!W13,F128*情景参数!C5)</f>
        <v>300.5927533375</v>
      </c>
      <c r="I128" s="4" t="n">
        <f aca="false">IF(情景参数!E5="原表",驱动复算!U13,G128+H128)</f>
        <v>9346.31503353742</v>
      </c>
      <c r="J128" s="4" t="n">
        <f aca="false">(F128-I128)*(1-情景参数!F5)</f>
        <v>5683.32263333759</v>
      </c>
      <c r="K128" s="4" t="n">
        <f aca="false">偿债原表!C14</f>
        <v>0</v>
      </c>
      <c r="L128" s="4" t="n">
        <f aca="false">偿债原表!D14</f>
        <v>673.2</v>
      </c>
      <c r="M128" s="4" t="n">
        <f aca="false">K128+L128</f>
        <v>673.2</v>
      </c>
      <c r="N128" s="4" t="n">
        <f aca="false">J128-M128</f>
        <v>5010.12263333759</v>
      </c>
      <c r="O128" s="4" t="n">
        <f aca="false">O127+N128</f>
        <v>5783.53376409031</v>
      </c>
      <c r="P128" s="4" t="n">
        <f aca="false">MAX(0,-(R127+N128))</f>
        <v>0</v>
      </c>
      <c r="Q128" s="4" t="n">
        <f aca="false">Q127+P128</f>
        <v>16299.838</v>
      </c>
      <c r="R128" s="4" t="n">
        <f aca="false">O128+Q128</f>
        <v>22083.3717640903</v>
      </c>
    </row>
    <row r="129" customFormat="false" ht="15" hidden="false" customHeight="false" outlineLevel="0" collapsed="false">
      <c r="A129" s="2" t="s">
        <v>43</v>
      </c>
      <c r="B129" s="2" t="s">
        <v>39</v>
      </c>
      <c r="C129" s="12" t="n">
        <v>13</v>
      </c>
      <c r="D129" s="12" t="n">
        <v>2036</v>
      </c>
      <c r="E129" s="4" t="n">
        <f aca="false">INDEX(驱动复算!A14:X14,1,情景参数!B5)</f>
        <v>15737.2495502188</v>
      </c>
      <c r="F129" s="4" t="n">
        <f aca="false">E129*(1-情景参数!D5)</f>
        <v>15737.2495502188</v>
      </c>
      <c r="G129" s="4" t="n">
        <f aca="false">IF(情景参数!E5="原表",驱动复算!U14-驱动复算!W14,驱动复算!P14)</f>
        <v>9317.09394860592</v>
      </c>
      <c r="H129" s="4" t="n">
        <f aca="false">IF(情景参数!E5="原表",驱动复算!W14,F129*情景参数!C5)</f>
        <v>314.744991004375</v>
      </c>
      <c r="I129" s="4" t="n">
        <f aca="false">IF(情景参数!E5="原表",驱动复算!U14,G129+H129)</f>
        <v>9631.83893961029</v>
      </c>
      <c r="J129" s="4" t="n">
        <f aca="false">(F129-I129)*(1-情景参数!F5)</f>
        <v>6105.41061060847</v>
      </c>
      <c r="K129" s="4" t="n">
        <f aca="false">偿债原表!C15</f>
        <v>0</v>
      </c>
      <c r="L129" s="4" t="n">
        <f aca="false">偿债原表!D15</f>
        <v>673.2</v>
      </c>
      <c r="M129" s="4" t="n">
        <f aca="false">K129+L129</f>
        <v>673.2</v>
      </c>
      <c r="N129" s="4" t="n">
        <f aca="false">J129-M129</f>
        <v>5432.21061060847</v>
      </c>
      <c r="O129" s="4" t="n">
        <f aca="false">O128+N129</f>
        <v>11215.7443746988</v>
      </c>
      <c r="P129" s="4" t="n">
        <f aca="false">MAX(0,-(R128+N129))</f>
        <v>0</v>
      </c>
      <c r="Q129" s="4" t="n">
        <f aca="false">Q128+P129</f>
        <v>16299.838</v>
      </c>
      <c r="R129" s="4" t="n">
        <f aca="false">O129+Q129</f>
        <v>27515.5823746988</v>
      </c>
    </row>
    <row r="130" customFormat="false" ht="15" hidden="false" customHeight="false" outlineLevel="0" collapsed="false">
      <c r="A130" s="2" t="s">
        <v>43</v>
      </c>
      <c r="B130" s="2" t="s">
        <v>39</v>
      </c>
      <c r="C130" s="12" t="n">
        <v>14</v>
      </c>
      <c r="D130" s="12" t="n">
        <v>2037</v>
      </c>
      <c r="E130" s="4" t="n">
        <f aca="false">INDEX(驱动复算!A15:X15,1,情景参数!B5)</f>
        <v>16480.2420277297</v>
      </c>
      <c r="F130" s="4" t="n">
        <f aca="false">E130*(1-情景参数!D5)</f>
        <v>16480.2420277297</v>
      </c>
      <c r="G130" s="4" t="n">
        <f aca="false">IF(情景参数!E5="原表",驱动复算!U15-驱动复算!W15,驱动复算!P15)</f>
        <v>9596.6067670641</v>
      </c>
      <c r="H130" s="4" t="n">
        <f aca="false">IF(情景参数!E5="原表",驱动复算!W15,F130*情景参数!C5)</f>
        <v>329.604840554594</v>
      </c>
      <c r="I130" s="4" t="n">
        <f aca="false">IF(情景参数!E5="原表",驱动复算!U15,G130+H130)</f>
        <v>9926.21160761869</v>
      </c>
      <c r="J130" s="4" t="n">
        <f aca="false">(F130-I130)*(1-情景参数!F5)</f>
        <v>6554.03042011101</v>
      </c>
      <c r="K130" s="4" t="n">
        <f aca="false">偿债原表!C16</f>
        <v>1000</v>
      </c>
      <c r="L130" s="4" t="n">
        <f aca="false">偿债原表!D16</f>
        <v>673.2</v>
      </c>
      <c r="M130" s="4" t="n">
        <f aca="false">K130+L130</f>
        <v>1673.2</v>
      </c>
      <c r="N130" s="4" t="n">
        <f aca="false">J130-M130</f>
        <v>4880.83042011101</v>
      </c>
      <c r="O130" s="4" t="n">
        <f aca="false">O129+N130</f>
        <v>16096.5747948098</v>
      </c>
      <c r="P130" s="4" t="n">
        <f aca="false">MAX(0,-(R129+N130))</f>
        <v>0</v>
      </c>
      <c r="Q130" s="4" t="n">
        <f aca="false">Q129+P130</f>
        <v>16299.838</v>
      </c>
      <c r="R130" s="4" t="n">
        <f aca="false">O130+Q130</f>
        <v>32396.4127948098</v>
      </c>
    </row>
    <row r="131" customFormat="false" ht="15" hidden="false" customHeight="false" outlineLevel="0" collapsed="false">
      <c r="A131" s="2" t="s">
        <v>43</v>
      </c>
      <c r="B131" s="2" t="s">
        <v>39</v>
      </c>
      <c r="C131" s="12" t="n">
        <v>15</v>
      </c>
      <c r="D131" s="12" t="n">
        <v>2038</v>
      </c>
      <c r="E131" s="4" t="n">
        <f aca="false">INDEX(驱动复算!A16:X16,1,情景参数!B5)</f>
        <v>16821.7888682843</v>
      </c>
      <c r="F131" s="4" t="n">
        <f aca="false">E131*(1-情景参数!D5)</f>
        <v>16821.7888682843</v>
      </c>
      <c r="G131" s="4" t="n">
        <f aca="false">IF(情景参数!E5="原表",驱动复算!U16-驱动复算!W16,驱动复算!P16)</f>
        <v>9884.50497007602</v>
      </c>
      <c r="H131" s="4" t="n">
        <f aca="false">IF(情景参数!E5="原表",驱动复算!W16,F131*情景参数!C5)</f>
        <v>336.435777365686</v>
      </c>
      <c r="I131" s="4" t="n">
        <f aca="false">IF(情景参数!E5="原表",驱动复算!U16,G131+H131)</f>
        <v>10220.9407474417</v>
      </c>
      <c r="J131" s="4" t="n">
        <f aca="false">(F131-I131)*(1-情景参数!F5)</f>
        <v>6600.84812084258</v>
      </c>
      <c r="K131" s="4" t="n">
        <f aca="false">偿债原表!C17</f>
        <v>0</v>
      </c>
      <c r="L131" s="4" t="n">
        <f aca="false">偿债原表!D17</f>
        <v>644</v>
      </c>
      <c r="M131" s="4" t="n">
        <f aca="false">K131+L131</f>
        <v>644</v>
      </c>
      <c r="N131" s="4" t="n">
        <f aca="false">J131-M131</f>
        <v>5956.84812084258</v>
      </c>
      <c r="O131" s="4" t="n">
        <f aca="false">O130+N131</f>
        <v>22053.4229156524</v>
      </c>
      <c r="P131" s="4" t="n">
        <f aca="false">MAX(0,-(R130+N131))</f>
        <v>0</v>
      </c>
      <c r="Q131" s="4" t="n">
        <f aca="false">Q130+P131</f>
        <v>16299.838</v>
      </c>
      <c r="R131" s="4" t="n">
        <f aca="false">O131+Q131</f>
        <v>38353.2609156524</v>
      </c>
    </row>
    <row r="132" customFormat="false" ht="15" hidden="false" customHeight="false" outlineLevel="0" collapsed="false">
      <c r="A132" s="2" t="s">
        <v>43</v>
      </c>
      <c r="B132" s="2" t="s">
        <v>39</v>
      </c>
      <c r="C132" s="12" t="n">
        <v>16</v>
      </c>
      <c r="D132" s="12" t="n">
        <v>2039</v>
      </c>
      <c r="E132" s="4" t="n">
        <f aca="false">INDEX(驱动复算!A17:X17,1,情景参数!B5)</f>
        <v>17140.08684565</v>
      </c>
      <c r="F132" s="4" t="n">
        <f aca="false">E132*(1-情景参数!D5)</f>
        <v>17140.08684565</v>
      </c>
      <c r="G132" s="4" t="n">
        <f aca="false">IF(情景参数!E5="原表",驱动复算!U17-驱动复算!W17,驱动复算!P17)</f>
        <v>10181.0401191783</v>
      </c>
      <c r="H132" s="4" t="n">
        <f aca="false">IF(情景参数!E5="原表",驱动复算!W17,F132*情景参数!C5)</f>
        <v>342.801736913</v>
      </c>
      <c r="I132" s="4" t="n">
        <f aca="false">IF(情景参数!E5="原表",驱动复算!U17,G132+H132)</f>
        <v>10523.8418560913</v>
      </c>
      <c r="J132" s="4" t="n">
        <f aca="false">(F132-I132)*(1-情景参数!F5)</f>
        <v>6616.24498955868</v>
      </c>
      <c r="K132" s="4" t="n">
        <f aca="false">偿债原表!C18</f>
        <v>0</v>
      </c>
      <c r="L132" s="4" t="n">
        <f aca="false">偿债原表!D18</f>
        <v>644</v>
      </c>
      <c r="M132" s="4" t="n">
        <f aca="false">K132+L132</f>
        <v>644</v>
      </c>
      <c r="N132" s="4" t="n">
        <f aca="false">J132-M132</f>
        <v>5972.24498955868</v>
      </c>
      <c r="O132" s="4" t="n">
        <f aca="false">O131+N132</f>
        <v>28025.667905211</v>
      </c>
      <c r="P132" s="4" t="n">
        <f aca="false">MAX(0,-(R131+N132))</f>
        <v>0</v>
      </c>
      <c r="Q132" s="4" t="n">
        <f aca="false">Q131+P132</f>
        <v>16299.838</v>
      </c>
      <c r="R132" s="4" t="n">
        <f aca="false">O132+Q132</f>
        <v>44325.505905211</v>
      </c>
    </row>
    <row r="133" customFormat="false" ht="15" hidden="false" customHeight="false" outlineLevel="0" collapsed="false">
      <c r="A133" s="2" t="s">
        <v>43</v>
      </c>
      <c r="B133" s="2" t="s">
        <v>39</v>
      </c>
      <c r="C133" s="12" t="n">
        <v>17</v>
      </c>
      <c r="D133" s="12" t="n">
        <v>2040</v>
      </c>
      <c r="E133" s="4" t="n">
        <f aca="false">INDEX(驱动复算!A18:X18,1,情景参数!B5)</f>
        <v>17464.750782563</v>
      </c>
      <c r="F133" s="4" t="n">
        <f aca="false">E133*(1-情景参数!D5)</f>
        <v>17464.750782563</v>
      </c>
      <c r="G133" s="4" t="n">
        <f aca="false">IF(情景参数!E5="原表",驱动复算!U18-驱动复算!W18,驱动复算!P18)</f>
        <v>10486.4713227536</v>
      </c>
      <c r="H133" s="4" t="n">
        <f aca="false">IF(情景参数!E5="原表",驱动复算!W18,F133*情景参数!C5)</f>
        <v>349.29501565126</v>
      </c>
      <c r="I133" s="4" t="n">
        <f aca="false">IF(情景参数!E5="原表",驱动复算!U18,G133+H133)</f>
        <v>10835.7663384049</v>
      </c>
      <c r="J133" s="4" t="n">
        <f aca="false">(F133-I133)*(1-情景参数!F5)</f>
        <v>6628.98444415807</v>
      </c>
      <c r="K133" s="4" t="n">
        <f aca="false">偿债原表!C19</f>
        <v>0</v>
      </c>
      <c r="L133" s="4" t="n">
        <f aca="false">偿债原表!D19</f>
        <v>644</v>
      </c>
      <c r="M133" s="4" t="n">
        <f aca="false">K133+L133</f>
        <v>644</v>
      </c>
      <c r="N133" s="4" t="n">
        <f aca="false">J133-M133</f>
        <v>5984.98444415807</v>
      </c>
      <c r="O133" s="4" t="n">
        <f aca="false">O132+N133</f>
        <v>34010.6523493691</v>
      </c>
      <c r="P133" s="4" t="n">
        <f aca="false">MAX(0,-(R132+N133))</f>
        <v>0</v>
      </c>
      <c r="Q133" s="4" t="n">
        <f aca="false">Q132+P133</f>
        <v>16299.838</v>
      </c>
      <c r="R133" s="4" t="n">
        <f aca="false">O133+Q133</f>
        <v>50310.4903493691</v>
      </c>
    </row>
    <row r="134" customFormat="false" ht="15" hidden="false" customHeight="false" outlineLevel="0" collapsed="false">
      <c r="A134" s="2" t="s">
        <v>43</v>
      </c>
      <c r="B134" s="2" t="s">
        <v>39</v>
      </c>
      <c r="C134" s="12" t="n">
        <v>18</v>
      </c>
      <c r="D134" s="12" t="n">
        <v>2041</v>
      </c>
      <c r="E134" s="4" t="n">
        <f aca="false">INDEX(驱动复算!A19:X19,1,情景参数!B5)</f>
        <v>17795.9079982142</v>
      </c>
      <c r="F134" s="4" t="n">
        <f aca="false">E134*(1-情景参数!D5)</f>
        <v>17795.9079982142</v>
      </c>
      <c r="G134" s="4" t="n">
        <f aca="false">IF(情景参数!E5="原表",驱动复算!U19-驱动复算!W19,驱动复算!P19)</f>
        <v>10801.0654624363</v>
      </c>
      <c r="H134" s="4" t="n">
        <f aca="false">IF(情景参数!E5="原表",驱动复算!W19,F134*情景参数!C5)</f>
        <v>355.918159964285</v>
      </c>
      <c r="I134" s="4" t="n">
        <f aca="false">IF(情景参数!E5="原表",驱动复算!U19,G134+H134)</f>
        <v>11156.9836224005</v>
      </c>
      <c r="J134" s="4" t="n">
        <f aca="false">(F134-I134)*(1-情景参数!F5)</f>
        <v>6638.92437581369</v>
      </c>
      <c r="K134" s="4" t="n">
        <f aca="false">偿债原表!C20</f>
        <v>20000</v>
      </c>
      <c r="L134" s="4" t="n">
        <f aca="false">偿债原表!D20</f>
        <v>644</v>
      </c>
      <c r="M134" s="4" t="n">
        <f aca="false">K134+L134</f>
        <v>20644</v>
      </c>
      <c r="N134" s="4" t="n">
        <f aca="false">J134-M134</f>
        <v>-14005.0756241863</v>
      </c>
      <c r="O134" s="4" t="n">
        <f aca="false">O133+N134</f>
        <v>20005.5767251828</v>
      </c>
      <c r="P134" s="4" t="n">
        <f aca="false">MAX(0,-(R133+N134))</f>
        <v>0</v>
      </c>
      <c r="Q134" s="4" t="n">
        <f aca="false">Q133+P134</f>
        <v>16299.838</v>
      </c>
      <c r="R134" s="4" t="n">
        <f aca="false">O134+Q134</f>
        <v>36305.4147251828</v>
      </c>
    </row>
    <row r="135" customFormat="false" ht="15" hidden="false" customHeight="false" outlineLevel="0" collapsed="false">
      <c r="A135" s="2" t="s">
        <v>43</v>
      </c>
      <c r="B135" s="2" t="s">
        <v>40</v>
      </c>
      <c r="C135" s="12" t="n">
        <v>0</v>
      </c>
      <c r="D135" s="13" t="s">
        <v>248</v>
      </c>
      <c r="E135" s="4" t="n">
        <f aca="false">0</f>
        <v>0</v>
      </c>
      <c r="F135" s="4" t="n">
        <f aca="false">E135*(1-情景参数!D5)</f>
        <v>0</v>
      </c>
      <c r="G135" s="4" t="n">
        <f aca="false">0</f>
        <v>0</v>
      </c>
      <c r="H135" s="4" t="n">
        <f aca="false">0</f>
        <v>0</v>
      </c>
      <c r="I135" s="4" t="n">
        <f aca="false">0</f>
        <v>0</v>
      </c>
      <c r="J135" s="4" t="n">
        <f aca="false">(F135-I135)*(1-情景参数!F5)</f>
        <v>0</v>
      </c>
      <c r="K135" s="4" t="n">
        <f aca="false">偿债原表!F2</f>
        <v>0</v>
      </c>
      <c r="L135" s="4" t="n">
        <f aca="false">偿债原表!G2</f>
        <v>1374.2</v>
      </c>
      <c r="M135" s="4" t="n">
        <f aca="false">K135+L135</f>
        <v>1374.2</v>
      </c>
      <c r="N135" s="4" t="n">
        <f aca="false">J135-M135</f>
        <v>-1374.2</v>
      </c>
      <c r="O135" s="4" t="n">
        <f aca="false">N135</f>
        <v>-1374.2</v>
      </c>
      <c r="P135" s="4" t="n">
        <f aca="false">MAX(0,-N135)</f>
        <v>1374.2</v>
      </c>
      <c r="Q135" s="4" t="n">
        <f aca="false">P135</f>
        <v>1374.2</v>
      </c>
      <c r="R135" s="4" t="n">
        <f aca="false">O135+Q135</f>
        <v>0</v>
      </c>
    </row>
    <row r="136" customFormat="false" ht="15" hidden="false" customHeight="false" outlineLevel="0" collapsed="false">
      <c r="A136" s="2" t="s">
        <v>43</v>
      </c>
      <c r="B136" s="2" t="s">
        <v>40</v>
      </c>
      <c r="C136" s="12" t="n">
        <v>1</v>
      </c>
      <c r="D136" s="12" t="n">
        <v>2024</v>
      </c>
      <c r="E136" s="4" t="n">
        <f aca="false">INDEX(驱动复算!A2:X2,1,情景参数!B5)</f>
        <v>0</v>
      </c>
      <c r="F136" s="4" t="n">
        <f aca="false">E136*(1-情景参数!D5)</f>
        <v>0</v>
      </c>
      <c r="G136" s="4" t="n">
        <f aca="false">IF(情景参数!E5="原表",驱动复算!U2-驱动复算!W2,驱动复算!P2)</f>
        <v>0</v>
      </c>
      <c r="H136" s="4" t="n">
        <f aca="false">IF(情景参数!E5="原表",驱动复算!W2,F136*情景参数!C5)</f>
        <v>0</v>
      </c>
      <c r="I136" s="4" t="n">
        <f aca="false">IF(情景参数!E5="原表",驱动复算!U2,G136+H136)</f>
        <v>0</v>
      </c>
      <c r="J136" s="4" t="n">
        <f aca="false">(F136-I136)*(1-情景参数!F5)</f>
        <v>0</v>
      </c>
      <c r="K136" s="4" t="n">
        <f aca="false">偿债原表!F3</f>
        <v>0</v>
      </c>
      <c r="L136" s="4" t="n">
        <f aca="false">偿债原表!G3</f>
        <v>1107.58</v>
      </c>
      <c r="M136" s="4" t="n">
        <f aca="false">K136+L136</f>
        <v>1107.58</v>
      </c>
      <c r="N136" s="4" t="n">
        <f aca="false">J136-M136</f>
        <v>-1107.58</v>
      </c>
      <c r="O136" s="4" t="n">
        <f aca="false">O135+N136</f>
        <v>-2481.78</v>
      </c>
      <c r="P136" s="4" t="n">
        <f aca="false">MAX(0,-(R135+N136))</f>
        <v>1107.58</v>
      </c>
      <c r="Q136" s="4" t="n">
        <f aca="false">Q135+P136</f>
        <v>2481.78</v>
      </c>
      <c r="R136" s="4" t="n">
        <f aca="false">O136+Q136</f>
        <v>0</v>
      </c>
    </row>
    <row r="137" customFormat="false" ht="15" hidden="false" customHeight="false" outlineLevel="0" collapsed="false">
      <c r="A137" s="2" t="s">
        <v>43</v>
      </c>
      <c r="B137" s="2" t="s">
        <v>40</v>
      </c>
      <c r="C137" s="12" t="n">
        <v>2</v>
      </c>
      <c r="D137" s="12" t="n">
        <v>2025</v>
      </c>
      <c r="E137" s="4" t="n">
        <f aca="false">INDEX(驱动复算!A3:X3,1,情景参数!B5)</f>
        <v>0</v>
      </c>
      <c r="F137" s="4" t="n">
        <f aca="false">E137*(1-情景参数!D5)</f>
        <v>0</v>
      </c>
      <c r="G137" s="4" t="n">
        <f aca="false">IF(情景参数!E5="原表",驱动复算!U3-驱动复算!W3,驱动复算!P3)</f>
        <v>0</v>
      </c>
      <c r="H137" s="4" t="n">
        <f aca="false">IF(情景参数!E5="原表",驱动复算!W3,F137*情景参数!C5)</f>
        <v>0</v>
      </c>
      <c r="I137" s="4" t="n">
        <f aca="false">IF(情景参数!E5="原表",驱动复算!U3,G137+H137)</f>
        <v>0</v>
      </c>
      <c r="J137" s="4" t="n">
        <f aca="false">(F137-I137)*(1-情景参数!F5)</f>
        <v>0</v>
      </c>
      <c r="K137" s="4" t="n">
        <f aca="false">偿债原表!F4</f>
        <v>0</v>
      </c>
      <c r="L137" s="4" t="n">
        <f aca="false">偿债原表!G4</f>
        <v>1107.58</v>
      </c>
      <c r="M137" s="4" t="n">
        <f aca="false">K137+L137</f>
        <v>1107.58</v>
      </c>
      <c r="N137" s="4" t="n">
        <f aca="false">J137-M137</f>
        <v>-1107.58</v>
      </c>
      <c r="O137" s="4" t="n">
        <f aca="false">O136+N137</f>
        <v>-3589.36</v>
      </c>
      <c r="P137" s="4" t="n">
        <f aca="false">MAX(0,-(R136+N137))</f>
        <v>1107.58</v>
      </c>
      <c r="Q137" s="4" t="n">
        <f aca="false">Q136+P137</f>
        <v>3589.36</v>
      </c>
      <c r="R137" s="4" t="n">
        <f aca="false">O137+Q137</f>
        <v>0</v>
      </c>
    </row>
    <row r="138" customFormat="false" ht="15" hidden="false" customHeight="false" outlineLevel="0" collapsed="false">
      <c r="A138" s="2" t="s">
        <v>43</v>
      </c>
      <c r="B138" s="2" t="s">
        <v>40</v>
      </c>
      <c r="C138" s="12" t="n">
        <v>3</v>
      </c>
      <c r="D138" s="12" t="n">
        <v>2026</v>
      </c>
      <c r="E138" s="4" t="n">
        <f aca="false">INDEX(驱动复算!A4:X4,1,情景参数!B5)</f>
        <v>0</v>
      </c>
      <c r="F138" s="4" t="n">
        <f aca="false">E138*(1-情景参数!D5)</f>
        <v>0</v>
      </c>
      <c r="G138" s="4" t="n">
        <f aca="false">IF(情景参数!E5="原表",驱动复算!U4-驱动复算!W4,驱动复算!P4)</f>
        <v>0</v>
      </c>
      <c r="H138" s="4" t="n">
        <f aca="false">IF(情景参数!E5="原表",驱动复算!W4,F138*情景参数!C5)</f>
        <v>0</v>
      </c>
      <c r="I138" s="4" t="n">
        <f aca="false">IF(情景参数!E5="原表",驱动复算!U4,G138+H138)</f>
        <v>0</v>
      </c>
      <c r="J138" s="4" t="n">
        <f aca="false">(F138-I138)*(1-情景参数!F5)</f>
        <v>0</v>
      </c>
      <c r="K138" s="4" t="n">
        <f aca="false">偿债原表!F5</f>
        <v>0</v>
      </c>
      <c r="L138" s="4" t="n">
        <f aca="false">偿债原表!G5</f>
        <v>1107.58</v>
      </c>
      <c r="M138" s="4" t="n">
        <f aca="false">K138+L138</f>
        <v>1107.58</v>
      </c>
      <c r="N138" s="4" t="n">
        <f aca="false">J138-M138</f>
        <v>-1107.58</v>
      </c>
      <c r="O138" s="4" t="n">
        <f aca="false">O137+N138</f>
        <v>-4696.94</v>
      </c>
      <c r="P138" s="4" t="n">
        <f aca="false">MAX(0,-(R137+N138))</f>
        <v>1107.58</v>
      </c>
      <c r="Q138" s="4" t="n">
        <f aca="false">Q137+P138</f>
        <v>4696.94</v>
      </c>
      <c r="R138" s="4" t="n">
        <f aca="false">O138+Q138</f>
        <v>0</v>
      </c>
    </row>
    <row r="139" customFormat="false" ht="15" hidden="false" customHeight="false" outlineLevel="0" collapsed="false">
      <c r="A139" s="2" t="s">
        <v>43</v>
      </c>
      <c r="B139" s="2" t="s">
        <v>40</v>
      </c>
      <c r="C139" s="12" t="n">
        <v>4</v>
      </c>
      <c r="D139" s="12" t="n">
        <v>2027</v>
      </c>
      <c r="E139" s="4" t="n">
        <f aca="false">INDEX(驱动复算!A5:X5,1,情景参数!B5)</f>
        <v>0</v>
      </c>
      <c r="F139" s="4" t="n">
        <f aca="false">E139*(1-情景参数!D5)</f>
        <v>0</v>
      </c>
      <c r="G139" s="4" t="n">
        <f aca="false">IF(情景参数!E5="原表",驱动复算!U5-驱动复算!W5,驱动复算!P5)</f>
        <v>0</v>
      </c>
      <c r="H139" s="4" t="n">
        <f aca="false">IF(情景参数!E5="原表",驱动复算!W5,F139*情景参数!C5)</f>
        <v>0</v>
      </c>
      <c r="I139" s="4" t="n">
        <f aca="false">IF(情景参数!E5="原表",驱动复算!U5,G139+H139)</f>
        <v>0</v>
      </c>
      <c r="J139" s="4" t="n">
        <f aca="false">(F139-I139)*(1-情景参数!F5)</f>
        <v>0</v>
      </c>
      <c r="K139" s="4" t="n">
        <f aca="false">偿债原表!F6</f>
        <v>0</v>
      </c>
      <c r="L139" s="4" t="n">
        <f aca="false">偿债原表!G6</f>
        <v>1107.58</v>
      </c>
      <c r="M139" s="4" t="n">
        <f aca="false">K139+L139</f>
        <v>1107.58</v>
      </c>
      <c r="N139" s="4" t="n">
        <f aca="false">J139-M139</f>
        <v>-1107.58</v>
      </c>
      <c r="O139" s="4" t="n">
        <f aca="false">O138+N139</f>
        <v>-5804.52</v>
      </c>
      <c r="P139" s="4" t="n">
        <f aca="false">MAX(0,-(R138+N139))</f>
        <v>1107.58</v>
      </c>
      <c r="Q139" s="4" t="n">
        <f aca="false">Q138+P139</f>
        <v>5804.52</v>
      </c>
      <c r="R139" s="4" t="n">
        <f aca="false">O139+Q139</f>
        <v>0</v>
      </c>
    </row>
    <row r="140" customFormat="false" ht="15" hidden="false" customHeight="false" outlineLevel="0" collapsed="false">
      <c r="A140" s="2" t="s">
        <v>43</v>
      </c>
      <c r="B140" s="2" t="s">
        <v>40</v>
      </c>
      <c r="C140" s="12" t="n">
        <v>5</v>
      </c>
      <c r="D140" s="12" t="n">
        <v>2028</v>
      </c>
      <c r="E140" s="4" t="n">
        <f aca="false">INDEX(驱动复算!A6:X6,1,情景参数!B5)</f>
        <v>9076.9</v>
      </c>
      <c r="F140" s="4" t="n">
        <f aca="false">E140*(1-情景参数!D5)</f>
        <v>9076.9</v>
      </c>
      <c r="G140" s="4" t="n">
        <f aca="false">IF(情景参数!E5="原表",驱动复算!U6-驱动复算!W6,驱动复算!P6)</f>
        <v>7355</v>
      </c>
      <c r="H140" s="4" t="n">
        <f aca="false">IF(情景参数!E5="原表",驱动复算!W6,F140*情景参数!C5)</f>
        <v>181.538</v>
      </c>
      <c r="I140" s="4" t="n">
        <f aca="false">IF(情景参数!E5="原表",驱动复算!U6,G140+H140)</f>
        <v>7536.538</v>
      </c>
      <c r="J140" s="4" t="n">
        <f aca="false">(F140-I140)*(1-情景参数!F5)</f>
        <v>1540.362</v>
      </c>
      <c r="K140" s="4" t="n">
        <f aca="false">偿债原表!F7</f>
        <v>1400</v>
      </c>
      <c r="L140" s="4" t="n">
        <f aca="false">偿债原表!G7</f>
        <v>1107.58</v>
      </c>
      <c r="M140" s="4" t="n">
        <f aca="false">K140+L140</f>
        <v>2507.58</v>
      </c>
      <c r="N140" s="4" t="n">
        <f aca="false">J140-M140</f>
        <v>-967.218</v>
      </c>
      <c r="O140" s="4" t="n">
        <f aca="false">O139+N140</f>
        <v>-6771.738</v>
      </c>
      <c r="P140" s="4" t="n">
        <f aca="false">MAX(0,-(R139+N140))</f>
        <v>967.218</v>
      </c>
      <c r="Q140" s="4" t="n">
        <f aca="false">Q139+P140</f>
        <v>6771.738</v>
      </c>
      <c r="R140" s="4" t="n">
        <f aca="false">O140+Q140</f>
        <v>0</v>
      </c>
    </row>
    <row r="141" customFormat="false" ht="15" hidden="false" customHeight="false" outlineLevel="0" collapsed="false">
      <c r="A141" s="2" t="s">
        <v>43</v>
      </c>
      <c r="B141" s="2" t="s">
        <v>40</v>
      </c>
      <c r="C141" s="12" t="n">
        <v>6</v>
      </c>
      <c r="D141" s="12" t="n">
        <v>2029</v>
      </c>
      <c r="E141" s="4" t="n">
        <f aca="false">INDEX(驱动复算!A7:X7,1,情景参数!B5)</f>
        <v>9965.51</v>
      </c>
      <c r="F141" s="4" t="n">
        <f aca="false">E141*(1-情景参数!D5)</f>
        <v>9965.51</v>
      </c>
      <c r="G141" s="4" t="n">
        <f aca="false">IF(情景参数!E5="原表",驱动复算!U7-驱动复算!W7,驱动复算!P7)</f>
        <v>7575.65</v>
      </c>
      <c r="H141" s="4" t="n">
        <f aca="false">IF(情景参数!E5="原表",驱动复算!W7,F141*情景参数!C5)</f>
        <v>199.3102</v>
      </c>
      <c r="I141" s="4" t="n">
        <f aca="false">IF(情景参数!E5="原表",驱动复算!U7,G141+H141)</f>
        <v>7774.9602</v>
      </c>
      <c r="J141" s="4" t="n">
        <f aca="false">(F141-I141)*(1-情景参数!F5)</f>
        <v>2190.5498</v>
      </c>
      <c r="K141" s="4" t="n">
        <f aca="false">偿债原表!F8</f>
        <v>0</v>
      </c>
      <c r="L141" s="4" t="n">
        <f aca="false">偿债原表!G8</f>
        <v>1075.8</v>
      </c>
      <c r="M141" s="4" t="n">
        <f aca="false">K141+L141</f>
        <v>1075.8</v>
      </c>
      <c r="N141" s="4" t="n">
        <f aca="false">J141-M141</f>
        <v>1114.7498</v>
      </c>
      <c r="O141" s="4" t="n">
        <f aca="false">O140+N141</f>
        <v>-5656.9882</v>
      </c>
      <c r="P141" s="4" t="n">
        <f aca="false">MAX(0,-(R140+N141))</f>
        <v>0</v>
      </c>
      <c r="Q141" s="4" t="n">
        <f aca="false">Q140+P141</f>
        <v>6771.738</v>
      </c>
      <c r="R141" s="4" t="n">
        <f aca="false">O141+Q141</f>
        <v>1114.7498</v>
      </c>
    </row>
    <row r="142" customFormat="false" ht="15" hidden="false" customHeight="false" outlineLevel="0" collapsed="false">
      <c r="A142" s="2" t="s">
        <v>43</v>
      </c>
      <c r="B142" s="2" t="s">
        <v>40</v>
      </c>
      <c r="C142" s="12" t="n">
        <v>7</v>
      </c>
      <c r="D142" s="12" t="n">
        <v>2030</v>
      </c>
      <c r="E142" s="4" t="n">
        <f aca="false">INDEX(驱动复算!A8:X8,1,情景参数!B5)</f>
        <v>10884.01</v>
      </c>
      <c r="F142" s="4" t="n">
        <f aca="false">E142*(1-情景参数!D5)</f>
        <v>10884.01</v>
      </c>
      <c r="G142" s="4" t="n">
        <f aca="false">IF(情景参数!E5="原表",驱动复算!U8-驱动复算!W8,驱动复算!P8)</f>
        <v>7802.9195</v>
      </c>
      <c r="H142" s="4" t="n">
        <f aca="false">IF(情景参数!E5="原表",驱动复算!W8,F142*情景参数!C5)</f>
        <v>217.6802</v>
      </c>
      <c r="I142" s="4" t="n">
        <f aca="false">IF(情景参数!E5="原表",驱动复算!U8,G142+H142)</f>
        <v>8020.5997</v>
      </c>
      <c r="J142" s="4" t="n">
        <f aca="false">(F142-I142)*(1-情景参数!F5)</f>
        <v>2863.4103</v>
      </c>
      <c r="K142" s="4" t="n">
        <f aca="false">偿债原表!F9</f>
        <v>0</v>
      </c>
      <c r="L142" s="4" t="n">
        <f aca="false">偿债原表!G9</f>
        <v>1075.8</v>
      </c>
      <c r="M142" s="4" t="n">
        <f aca="false">K142+L142</f>
        <v>1075.8</v>
      </c>
      <c r="N142" s="4" t="n">
        <f aca="false">J142-M142</f>
        <v>1787.6103</v>
      </c>
      <c r="O142" s="4" t="n">
        <f aca="false">O141+N142</f>
        <v>-3869.3779</v>
      </c>
      <c r="P142" s="4" t="n">
        <f aca="false">MAX(0,-(R141+N142))</f>
        <v>0</v>
      </c>
      <c r="Q142" s="4" t="n">
        <f aca="false">Q141+P142</f>
        <v>6771.738</v>
      </c>
      <c r="R142" s="4" t="n">
        <f aca="false">O142+Q142</f>
        <v>2902.3601</v>
      </c>
    </row>
    <row r="143" customFormat="false" ht="15" hidden="false" customHeight="false" outlineLevel="0" collapsed="false">
      <c r="A143" s="2" t="s">
        <v>43</v>
      </c>
      <c r="B143" s="2" t="s">
        <v>40</v>
      </c>
      <c r="C143" s="12" t="n">
        <v>8</v>
      </c>
      <c r="D143" s="12" t="n">
        <v>2031</v>
      </c>
      <c r="E143" s="4" t="n">
        <f aca="false">INDEX(驱动复算!A9:X9,1,情景参数!B5)</f>
        <v>11894.36</v>
      </c>
      <c r="F143" s="4" t="n">
        <f aca="false">E143*(1-情景参数!D5)</f>
        <v>11894.36</v>
      </c>
      <c r="G143" s="4" t="n">
        <f aca="false">IF(情景参数!E5="原表",驱动复算!U9-驱动复算!W9,驱动复算!P9)</f>
        <v>8037.007085</v>
      </c>
      <c r="H143" s="4" t="n">
        <f aca="false">IF(情景参数!E5="原表",驱动复算!W9,F143*情景参数!C5)</f>
        <v>237.8872</v>
      </c>
      <c r="I143" s="4" t="n">
        <f aca="false">IF(情景参数!E5="原表",驱动复算!U9,G143+H143)</f>
        <v>8274.894285</v>
      </c>
      <c r="J143" s="4" t="n">
        <f aca="false">(F143-I143)*(1-情景参数!F5)</f>
        <v>3619.465715</v>
      </c>
      <c r="K143" s="4" t="n">
        <f aca="false">偿债原表!F10</f>
        <v>0</v>
      </c>
      <c r="L143" s="4" t="n">
        <f aca="false">偿债原表!G10</f>
        <v>1075.8</v>
      </c>
      <c r="M143" s="4" t="n">
        <f aca="false">K143+L143</f>
        <v>1075.8</v>
      </c>
      <c r="N143" s="4" t="n">
        <f aca="false">J143-M143</f>
        <v>2543.665715</v>
      </c>
      <c r="O143" s="4" t="n">
        <f aca="false">O142+N143</f>
        <v>-1325.712185</v>
      </c>
      <c r="P143" s="4" t="n">
        <f aca="false">MAX(0,-(R142+N143))</f>
        <v>0</v>
      </c>
      <c r="Q143" s="4" t="n">
        <f aca="false">Q142+P143</f>
        <v>6771.738</v>
      </c>
      <c r="R143" s="4" t="n">
        <f aca="false">O143+Q143</f>
        <v>5446.025815</v>
      </c>
    </row>
    <row r="144" customFormat="false" ht="15" hidden="false" customHeight="false" outlineLevel="0" collapsed="false">
      <c r="A144" s="2" t="s">
        <v>43</v>
      </c>
      <c r="B144" s="2" t="s">
        <v>40</v>
      </c>
      <c r="C144" s="12" t="n">
        <v>9</v>
      </c>
      <c r="D144" s="12" t="n">
        <v>2032</v>
      </c>
      <c r="E144" s="4" t="n">
        <f aca="false">INDEX(驱动复算!A10:X10,1,情景参数!B5)</f>
        <v>13005.745</v>
      </c>
      <c r="F144" s="4" t="n">
        <f aca="false">E144*(1-情景参数!D5)</f>
        <v>13005.745</v>
      </c>
      <c r="G144" s="4" t="n">
        <f aca="false">IF(情景参数!E5="原表",驱动复算!U10-驱动复算!W10,驱动复算!P10)</f>
        <v>8278.11729755</v>
      </c>
      <c r="H144" s="4" t="n">
        <f aca="false">IF(情景参数!E5="原表",驱动复算!W10,F144*情景参数!C5)</f>
        <v>260.1149</v>
      </c>
      <c r="I144" s="4" t="n">
        <f aca="false">IF(情景参数!E5="原表",驱动复算!U10,G144+H144)</f>
        <v>8538.23219755</v>
      </c>
      <c r="J144" s="4" t="n">
        <f aca="false">(F144-I144)*(1-情景参数!F5)</f>
        <v>4467.51280245</v>
      </c>
      <c r="K144" s="4" t="n">
        <f aca="false">偿债原表!F11</f>
        <v>2000</v>
      </c>
      <c r="L144" s="4" t="n">
        <f aca="false">偿债原表!G11</f>
        <v>1075.8</v>
      </c>
      <c r="M144" s="4" t="n">
        <f aca="false">K144+L144</f>
        <v>3075.8</v>
      </c>
      <c r="N144" s="4" t="n">
        <f aca="false">J144-M144</f>
        <v>1391.71280245</v>
      </c>
      <c r="O144" s="4" t="n">
        <f aca="false">O143+N144</f>
        <v>66.0006174500049</v>
      </c>
      <c r="P144" s="4" t="n">
        <f aca="false">MAX(0,-(R143+N144))</f>
        <v>0</v>
      </c>
      <c r="Q144" s="4" t="n">
        <f aca="false">Q143+P144</f>
        <v>6771.738</v>
      </c>
      <c r="R144" s="4" t="n">
        <f aca="false">O144+Q144</f>
        <v>6837.73861745</v>
      </c>
    </row>
    <row r="145" customFormat="false" ht="15" hidden="false" customHeight="false" outlineLevel="0" collapsed="false">
      <c r="A145" s="2" t="s">
        <v>43</v>
      </c>
      <c r="B145" s="2" t="s">
        <v>40</v>
      </c>
      <c r="C145" s="12" t="n">
        <v>10</v>
      </c>
      <c r="D145" s="12" t="n">
        <v>2033</v>
      </c>
      <c r="E145" s="4" t="n">
        <f aca="false">INDEX(驱动复算!A11:X11,1,情景参数!B5)</f>
        <v>13713.89675</v>
      </c>
      <c r="F145" s="4" t="n">
        <f aca="false">E145*(1-情景参数!D5)</f>
        <v>13713.89675</v>
      </c>
      <c r="G145" s="4" t="n">
        <f aca="false">IF(情景参数!E5="原表",驱动复算!U11-驱动复算!W11,驱动复算!P11)</f>
        <v>8526.4608164765</v>
      </c>
      <c r="H145" s="4" t="n">
        <f aca="false">IF(情景参数!E5="原表",驱动复算!W11,F145*情景参数!C5)</f>
        <v>274.277935</v>
      </c>
      <c r="I145" s="4" t="n">
        <f aca="false">IF(情景参数!E5="原表",驱动复算!U11,G145+H145)</f>
        <v>8800.7387514765</v>
      </c>
      <c r="J145" s="4" t="n">
        <f aca="false">(F145-I145)*(1-情景参数!F5)</f>
        <v>4913.1579985235</v>
      </c>
      <c r="K145" s="4" t="n">
        <f aca="false">偿债原表!F12</f>
        <v>9600</v>
      </c>
      <c r="L145" s="4" t="n">
        <f aca="false">偿债原表!G12</f>
        <v>1018.8</v>
      </c>
      <c r="M145" s="4" t="n">
        <f aca="false">K145+L145</f>
        <v>10618.8</v>
      </c>
      <c r="N145" s="4" t="n">
        <f aca="false">J145-M145</f>
        <v>-5705.6420014765</v>
      </c>
      <c r="O145" s="4" t="n">
        <f aca="false">O144+N145</f>
        <v>-5639.64138402649</v>
      </c>
      <c r="P145" s="4" t="n">
        <f aca="false">MAX(0,-(R144+N145))</f>
        <v>0</v>
      </c>
      <c r="Q145" s="4" t="n">
        <f aca="false">Q144+P145</f>
        <v>6771.738</v>
      </c>
      <c r="R145" s="4" t="n">
        <f aca="false">O145+Q145</f>
        <v>1132.09661597351</v>
      </c>
    </row>
    <row r="146" customFormat="false" ht="15" hidden="false" customHeight="false" outlineLevel="0" collapsed="false">
      <c r="A146" s="2" t="s">
        <v>43</v>
      </c>
      <c r="B146" s="2" t="s">
        <v>40</v>
      </c>
      <c r="C146" s="12" t="n">
        <v>11</v>
      </c>
      <c r="D146" s="12" t="n">
        <v>2034</v>
      </c>
      <c r="E146" s="4" t="n">
        <f aca="false">INDEX(驱动复算!A12:X12,1,情景参数!B5)</f>
        <v>14355.7215875</v>
      </c>
      <c r="F146" s="4" t="n">
        <f aca="false">E146*(1-情景参数!D5)</f>
        <v>14355.7215875</v>
      </c>
      <c r="G146" s="4" t="n">
        <f aca="false">IF(情景参数!E5="原表",驱动复算!U12-驱动复算!W12,驱动复算!P12)</f>
        <v>8782.2546409708</v>
      </c>
      <c r="H146" s="4" t="n">
        <f aca="false">IF(情景参数!E5="原表",驱动复算!W12,F146*情景参数!C5)</f>
        <v>287.11443175</v>
      </c>
      <c r="I146" s="4" t="n">
        <f aca="false">IF(情景参数!E5="原表",驱动复算!U12,G146+H146)</f>
        <v>9069.3690727208</v>
      </c>
      <c r="J146" s="4" t="n">
        <f aca="false">(F146-I146)*(1-情景参数!F5)</f>
        <v>5286.35251477921</v>
      </c>
      <c r="K146" s="4" t="n">
        <f aca="false">偿债原表!F13</f>
        <v>0</v>
      </c>
      <c r="L146" s="4" t="n">
        <f aca="false">偿债原表!G13</f>
        <v>673.2</v>
      </c>
      <c r="M146" s="4" t="n">
        <f aca="false">K146+L146</f>
        <v>673.2</v>
      </c>
      <c r="N146" s="4" t="n">
        <f aca="false">J146-M146</f>
        <v>4613.15251477921</v>
      </c>
      <c r="O146" s="4" t="n">
        <f aca="false">O145+N146</f>
        <v>-1026.48886924728</v>
      </c>
      <c r="P146" s="4" t="n">
        <f aca="false">MAX(0,-(R145+N146))</f>
        <v>0</v>
      </c>
      <c r="Q146" s="4" t="n">
        <f aca="false">Q145+P146</f>
        <v>6771.738</v>
      </c>
      <c r="R146" s="4" t="n">
        <f aca="false">O146+Q146</f>
        <v>5745.24913075272</v>
      </c>
    </row>
    <row r="147" customFormat="false" ht="15" hidden="false" customHeight="false" outlineLevel="0" collapsed="false">
      <c r="A147" s="2" t="s">
        <v>43</v>
      </c>
      <c r="B147" s="2" t="s">
        <v>40</v>
      </c>
      <c r="C147" s="12" t="n">
        <v>12</v>
      </c>
      <c r="D147" s="12" t="n">
        <v>2035</v>
      </c>
      <c r="E147" s="4" t="n">
        <f aca="false">INDEX(驱动复算!A13:X13,1,情景参数!B5)</f>
        <v>15029.637666875</v>
      </c>
      <c r="F147" s="4" t="n">
        <f aca="false">E147*(1-情景参数!D5)</f>
        <v>15029.637666875</v>
      </c>
      <c r="G147" s="4" t="n">
        <f aca="false">IF(情景参数!E5="原表",驱动复算!U13-驱动复算!W13,驱动复算!P13)</f>
        <v>9045.72228019992</v>
      </c>
      <c r="H147" s="4" t="n">
        <f aca="false">IF(情景参数!E5="原表",驱动复算!W13,F147*情景参数!C5)</f>
        <v>300.5927533375</v>
      </c>
      <c r="I147" s="4" t="n">
        <f aca="false">IF(情景参数!E5="原表",驱动复算!U13,G147+H147)</f>
        <v>9346.31503353742</v>
      </c>
      <c r="J147" s="4" t="n">
        <f aca="false">(F147-I147)*(1-情景参数!F5)</f>
        <v>5683.32263333759</v>
      </c>
      <c r="K147" s="4" t="n">
        <f aca="false">偿债原表!F14</f>
        <v>0</v>
      </c>
      <c r="L147" s="4" t="n">
        <f aca="false">偿债原表!G14</f>
        <v>673.2</v>
      </c>
      <c r="M147" s="4" t="n">
        <f aca="false">K147+L147</f>
        <v>673.2</v>
      </c>
      <c r="N147" s="4" t="n">
        <f aca="false">J147-M147</f>
        <v>5010.12263333759</v>
      </c>
      <c r="O147" s="4" t="n">
        <f aca="false">O146+N147</f>
        <v>3983.63376409031</v>
      </c>
      <c r="P147" s="4" t="n">
        <f aca="false">MAX(0,-(R146+N147))</f>
        <v>0</v>
      </c>
      <c r="Q147" s="4" t="n">
        <f aca="false">Q146+P147</f>
        <v>6771.738</v>
      </c>
      <c r="R147" s="4" t="n">
        <f aca="false">O147+Q147</f>
        <v>10755.3717640903</v>
      </c>
    </row>
    <row r="148" customFormat="false" ht="15" hidden="false" customHeight="false" outlineLevel="0" collapsed="false">
      <c r="A148" s="2" t="s">
        <v>43</v>
      </c>
      <c r="B148" s="2" t="s">
        <v>40</v>
      </c>
      <c r="C148" s="12" t="n">
        <v>13</v>
      </c>
      <c r="D148" s="12" t="n">
        <v>2036</v>
      </c>
      <c r="E148" s="4" t="n">
        <f aca="false">INDEX(驱动复算!A14:X14,1,情景参数!B5)</f>
        <v>15737.2495502188</v>
      </c>
      <c r="F148" s="4" t="n">
        <f aca="false">E148*(1-情景参数!D5)</f>
        <v>15737.2495502188</v>
      </c>
      <c r="G148" s="4" t="n">
        <f aca="false">IF(情景参数!E5="原表",驱动复算!U14-驱动复算!W14,驱动复算!P14)</f>
        <v>9317.09394860592</v>
      </c>
      <c r="H148" s="4" t="n">
        <f aca="false">IF(情景参数!E5="原表",驱动复算!W14,F148*情景参数!C5)</f>
        <v>314.744991004375</v>
      </c>
      <c r="I148" s="4" t="n">
        <f aca="false">IF(情景参数!E5="原表",驱动复算!U14,G148+H148)</f>
        <v>9631.83893961029</v>
      </c>
      <c r="J148" s="4" t="n">
        <f aca="false">(F148-I148)*(1-情景参数!F5)</f>
        <v>6105.41061060847</v>
      </c>
      <c r="K148" s="4" t="n">
        <f aca="false">偿债原表!F15</f>
        <v>0</v>
      </c>
      <c r="L148" s="4" t="n">
        <f aca="false">偿债原表!G15</f>
        <v>673.2</v>
      </c>
      <c r="M148" s="4" t="n">
        <f aca="false">K148+L148</f>
        <v>673.2</v>
      </c>
      <c r="N148" s="4" t="n">
        <f aca="false">J148-M148</f>
        <v>5432.21061060847</v>
      </c>
      <c r="O148" s="4" t="n">
        <f aca="false">O147+N148</f>
        <v>9415.84437469877</v>
      </c>
      <c r="P148" s="4" t="n">
        <f aca="false">MAX(0,-(R147+N148))</f>
        <v>0</v>
      </c>
      <c r="Q148" s="4" t="n">
        <f aca="false">Q147+P148</f>
        <v>6771.738</v>
      </c>
      <c r="R148" s="4" t="n">
        <f aca="false">O148+Q148</f>
        <v>16187.5823746988</v>
      </c>
    </row>
    <row r="149" customFormat="false" ht="15" hidden="false" customHeight="false" outlineLevel="0" collapsed="false">
      <c r="A149" s="2" t="s">
        <v>43</v>
      </c>
      <c r="B149" s="2" t="s">
        <v>40</v>
      </c>
      <c r="C149" s="12" t="n">
        <v>14</v>
      </c>
      <c r="D149" s="12" t="n">
        <v>2037</v>
      </c>
      <c r="E149" s="4" t="n">
        <f aca="false">INDEX(驱动复算!A15:X15,1,情景参数!B5)</f>
        <v>16480.2420277297</v>
      </c>
      <c r="F149" s="4" t="n">
        <f aca="false">E149*(1-情景参数!D5)</f>
        <v>16480.2420277297</v>
      </c>
      <c r="G149" s="4" t="n">
        <f aca="false">IF(情景参数!E5="原表",驱动复算!U15-驱动复算!W15,驱动复算!P15)</f>
        <v>9596.6067670641</v>
      </c>
      <c r="H149" s="4" t="n">
        <f aca="false">IF(情景参数!E5="原表",驱动复算!W15,F149*情景参数!C5)</f>
        <v>329.604840554594</v>
      </c>
      <c r="I149" s="4" t="n">
        <f aca="false">IF(情景参数!E5="原表",驱动复算!U15,G149+H149)</f>
        <v>9926.21160761869</v>
      </c>
      <c r="J149" s="4" t="n">
        <f aca="false">(F149-I149)*(1-情景参数!F5)</f>
        <v>6554.03042011101</v>
      </c>
      <c r="K149" s="4" t="n">
        <f aca="false">偿债原表!F16</f>
        <v>1000</v>
      </c>
      <c r="L149" s="4" t="n">
        <f aca="false">偿债原表!G16</f>
        <v>673.2</v>
      </c>
      <c r="M149" s="4" t="n">
        <f aca="false">K149+L149</f>
        <v>1673.2</v>
      </c>
      <c r="N149" s="4" t="n">
        <f aca="false">J149-M149</f>
        <v>4880.83042011101</v>
      </c>
      <c r="O149" s="4" t="n">
        <f aca="false">O148+N149</f>
        <v>14296.6747948098</v>
      </c>
      <c r="P149" s="4" t="n">
        <f aca="false">MAX(0,-(R148+N149))</f>
        <v>0</v>
      </c>
      <c r="Q149" s="4" t="n">
        <f aca="false">Q148+P149</f>
        <v>6771.738</v>
      </c>
      <c r="R149" s="4" t="n">
        <f aca="false">O149+Q149</f>
        <v>21068.4127948098</v>
      </c>
    </row>
    <row r="150" customFormat="false" ht="15" hidden="false" customHeight="false" outlineLevel="0" collapsed="false">
      <c r="A150" s="2" t="s">
        <v>43</v>
      </c>
      <c r="B150" s="2" t="s">
        <v>40</v>
      </c>
      <c r="C150" s="12" t="n">
        <v>15</v>
      </c>
      <c r="D150" s="12" t="n">
        <v>2038</v>
      </c>
      <c r="E150" s="4" t="n">
        <f aca="false">INDEX(驱动复算!A16:X16,1,情景参数!B5)</f>
        <v>16821.7888682843</v>
      </c>
      <c r="F150" s="4" t="n">
        <f aca="false">E150*(1-情景参数!D5)</f>
        <v>16821.7888682843</v>
      </c>
      <c r="G150" s="4" t="n">
        <f aca="false">IF(情景参数!E5="原表",驱动复算!U16-驱动复算!W16,驱动复算!P16)</f>
        <v>9884.50497007602</v>
      </c>
      <c r="H150" s="4" t="n">
        <f aca="false">IF(情景参数!E5="原表",驱动复算!W16,F150*情景参数!C5)</f>
        <v>336.435777365686</v>
      </c>
      <c r="I150" s="4" t="n">
        <f aca="false">IF(情景参数!E5="原表",驱动复算!U16,G150+H150)</f>
        <v>10220.9407474417</v>
      </c>
      <c r="J150" s="4" t="n">
        <f aca="false">(F150-I150)*(1-情景参数!F5)</f>
        <v>6600.84812084258</v>
      </c>
      <c r="K150" s="4" t="n">
        <f aca="false">偿债原表!F17</f>
        <v>0</v>
      </c>
      <c r="L150" s="4" t="n">
        <f aca="false">偿债原表!G17</f>
        <v>644</v>
      </c>
      <c r="M150" s="4" t="n">
        <f aca="false">K150+L150</f>
        <v>644</v>
      </c>
      <c r="N150" s="4" t="n">
        <f aca="false">J150-M150</f>
        <v>5956.84812084258</v>
      </c>
      <c r="O150" s="4" t="n">
        <f aca="false">O149+N150</f>
        <v>20253.5229156524</v>
      </c>
      <c r="P150" s="4" t="n">
        <f aca="false">MAX(0,-(R149+N150))</f>
        <v>0</v>
      </c>
      <c r="Q150" s="4" t="n">
        <f aca="false">Q149+P150</f>
        <v>6771.738</v>
      </c>
      <c r="R150" s="4" t="n">
        <f aca="false">O150+Q150</f>
        <v>27025.2609156524</v>
      </c>
    </row>
    <row r="151" customFormat="false" ht="15" hidden="false" customHeight="false" outlineLevel="0" collapsed="false">
      <c r="A151" s="2" t="s">
        <v>43</v>
      </c>
      <c r="B151" s="2" t="s">
        <v>40</v>
      </c>
      <c r="C151" s="12" t="n">
        <v>16</v>
      </c>
      <c r="D151" s="12" t="n">
        <v>2039</v>
      </c>
      <c r="E151" s="4" t="n">
        <f aca="false">INDEX(驱动复算!A17:X17,1,情景参数!B5)</f>
        <v>17140.08684565</v>
      </c>
      <c r="F151" s="4" t="n">
        <f aca="false">E151*(1-情景参数!D5)</f>
        <v>17140.08684565</v>
      </c>
      <c r="G151" s="4" t="n">
        <f aca="false">IF(情景参数!E5="原表",驱动复算!U17-驱动复算!W17,驱动复算!P17)</f>
        <v>10181.0401191783</v>
      </c>
      <c r="H151" s="4" t="n">
        <f aca="false">IF(情景参数!E5="原表",驱动复算!W17,F151*情景参数!C5)</f>
        <v>342.801736913</v>
      </c>
      <c r="I151" s="4" t="n">
        <f aca="false">IF(情景参数!E5="原表",驱动复算!U17,G151+H151)</f>
        <v>10523.8418560913</v>
      </c>
      <c r="J151" s="4" t="n">
        <f aca="false">(F151-I151)*(1-情景参数!F5)</f>
        <v>6616.24498955868</v>
      </c>
      <c r="K151" s="4" t="n">
        <f aca="false">偿债原表!F18</f>
        <v>0</v>
      </c>
      <c r="L151" s="4" t="n">
        <f aca="false">偿债原表!G18</f>
        <v>644</v>
      </c>
      <c r="M151" s="4" t="n">
        <f aca="false">K151+L151</f>
        <v>644</v>
      </c>
      <c r="N151" s="4" t="n">
        <f aca="false">J151-M151</f>
        <v>5972.24498955868</v>
      </c>
      <c r="O151" s="4" t="n">
        <f aca="false">O150+N151</f>
        <v>26225.767905211</v>
      </c>
      <c r="P151" s="4" t="n">
        <f aca="false">MAX(0,-(R150+N151))</f>
        <v>0</v>
      </c>
      <c r="Q151" s="4" t="n">
        <f aca="false">Q150+P151</f>
        <v>6771.738</v>
      </c>
      <c r="R151" s="4" t="n">
        <f aca="false">O151+Q151</f>
        <v>32997.505905211</v>
      </c>
    </row>
    <row r="152" customFormat="false" ht="15" hidden="false" customHeight="false" outlineLevel="0" collapsed="false">
      <c r="A152" s="2" t="s">
        <v>43</v>
      </c>
      <c r="B152" s="2" t="s">
        <v>40</v>
      </c>
      <c r="C152" s="12" t="n">
        <v>17</v>
      </c>
      <c r="D152" s="12" t="n">
        <v>2040</v>
      </c>
      <c r="E152" s="4" t="n">
        <f aca="false">INDEX(驱动复算!A18:X18,1,情景参数!B5)</f>
        <v>17464.750782563</v>
      </c>
      <c r="F152" s="4" t="n">
        <f aca="false">E152*(1-情景参数!D5)</f>
        <v>17464.750782563</v>
      </c>
      <c r="G152" s="4" t="n">
        <f aca="false">IF(情景参数!E5="原表",驱动复算!U18-驱动复算!W18,驱动复算!P18)</f>
        <v>10486.4713227536</v>
      </c>
      <c r="H152" s="4" t="n">
        <f aca="false">IF(情景参数!E5="原表",驱动复算!W18,F152*情景参数!C5)</f>
        <v>349.29501565126</v>
      </c>
      <c r="I152" s="4" t="n">
        <f aca="false">IF(情景参数!E5="原表",驱动复算!U18,G152+H152)</f>
        <v>10835.7663384049</v>
      </c>
      <c r="J152" s="4" t="n">
        <f aca="false">(F152-I152)*(1-情景参数!F5)</f>
        <v>6628.98444415807</v>
      </c>
      <c r="K152" s="4" t="n">
        <f aca="false">偿债原表!F19</f>
        <v>0</v>
      </c>
      <c r="L152" s="4" t="n">
        <f aca="false">偿债原表!G19</f>
        <v>644</v>
      </c>
      <c r="M152" s="4" t="n">
        <f aca="false">K152+L152</f>
        <v>644</v>
      </c>
      <c r="N152" s="4" t="n">
        <f aca="false">J152-M152</f>
        <v>5984.98444415807</v>
      </c>
      <c r="O152" s="4" t="n">
        <f aca="false">O151+N152</f>
        <v>32210.7523493691</v>
      </c>
      <c r="P152" s="4" t="n">
        <f aca="false">MAX(0,-(R151+N152))</f>
        <v>0</v>
      </c>
      <c r="Q152" s="4" t="n">
        <f aca="false">Q151+P152</f>
        <v>6771.738</v>
      </c>
      <c r="R152" s="4" t="n">
        <f aca="false">O152+Q152</f>
        <v>38982.4903493691</v>
      </c>
    </row>
    <row r="153" customFormat="false" ht="15" hidden="false" customHeight="false" outlineLevel="0" collapsed="false">
      <c r="A153" s="2" t="s">
        <v>43</v>
      </c>
      <c r="B153" s="2" t="s">
        <v>40</v>
      </c>
      <c r="C153" s="12" t="n">
        <v>18</v>
      </c>
      <c r="D153" s="12" t="n">
        <v>2041</v>
      </c>
      <c r="E153" s="4" t="n">
        <f aca="false">INDEX(驱动复算!A19:X19,1,情景参数!B5)</f>
        <v>17795.9079982142</v>
      </c>
      <c r="F153" s="4" t="n">
        <f aca="false">E153*(1-情景参数!D5)</f>
        <v>17795.9079982142</v>
      </c>
      <c r="G153" s="4" t="n">
        <f aca="false">IF(情景参数!E5="原表",驱动复算!U19-驱动复算!W19,驱动复算!P19)</f>
        <v>10801.0654624363</v>
      </c>
      <c r="H153" s="4" t="n">
        <f aca="false">IF(情景参数!E5="原表",驱动复算!W19,F153*情景参数!C5)</f>
        <v>355.918159964285</v>
      </c>
      <c r="I153" s="4" t="n">
        <f aca="false">IF(情景参数!E5="原表",驱动复算!U19,G153+H153)</f>
        <v>11156.9836224005</v>
      </c>
      <c r="J153" s="4" t="n">
        <f aca="false">(F153-I153)*(1-情景参数!F5)</f>
        <v>6638.92437581369</v>
      </c>
      <c r="K153" s="4" t="n">
        <f aca="false">偿债原表!F20</f>
        <v>20000</v>
      </c>
      <c r="L153" s="4" t="n">
        <f aca="false">偿债原表!G20</f>
        <v>644</v>
      </c>
      <c r="M153" s="4" t="n">
        <f aca="false">K153+L153</f>
        <v>20644</v>
      </c>
      <c r="N153" s="4" t="n">
        <f aca="false">J153-M153</f>
        <v>-14005.0756241863</v>
      </c>
      <c r="O153" s="4" t="n">
        <f aca="false">O152+N153</f>
        <v>18205.6767251828</v>
      </c>
      <c r="P153" s="4" t="n">
        <f aca="false">MAX(0,-(R152+N153))</f>
        <v>0</v>
      </c>
      <c r="Q153" s="4" t="n">
        <f aca="false">Q152+P153</f>
        <v>6771.738</v>
      </c>
      <c r="R153" s="4" t="n">
        <f aca="false">O153+Q153</f>
        <v>24977.4147251828</v>
      </c>
    </row>
    <row r="154" customFormat="false" ht="15" hidden="false" customHeight="false" outlineLevel="0" collapsed="false">
      <c r="A154" s="2" t="s">
        <v>44</v>
      </c>
      <c r="B154" s="2" t="s">
        <v>39</v>
      </c>
      <c r="C154" s="12" t="n">
        <v>0</v>
      </c>
      <c r="D154" s="13" t="s">
        <v>248</v>
      </c>
      <c r="E154" s="4" t="n">
        <f aca="false">0</f>
        <v>0</v>
      </c>
      <c r="F154" s="4" t="n">
        <f aca="false">E154*(1-情景参数!D6)</f>
        <v>0</v>
      </c>
      <c r="G154" s="4" t="n">
        <f aca="false">0</f>
        <v>0</v>
      </c>
      <c r="H154" s="4" t="n">
        <f aca="false">0</f>
        <v>0</v>
      </c>
      <c r="I154" s="4" t="n">
        <f aca="false">0</f>
        <v>0</v>
      </c>
      <c r="J154" s="4" t="n">
        <f aca="false">(F154-I154)*(1-情景参数!F6)</f>
        <v>0</v>
      </c>
      <c r="K154" s="4" t="n">
        <f aca="false">偿债原表!C2</f>
        <v>0</v>
      </c>
      <c r="L154" s="4" t="n">
        <f aca="false">偿债原表!D2</f>
        <v>1374.2</v>
      </c>
      <c r="M154" s="4" t="n">
        <f aca="false">K154+L154</f>
        <v>1374.2</v>
      </c>
      <c r="N154" s="4" t="n">
        <f aca="false">J154-M154</f>
        <v>-1374.2</v>
      </c>
      <c r="O154" s="4" t="n">
        <f aca="false">N154</f>
        <v>-1374.2</v>
      </c>
      <c r="P154" s="4" t="n">
        <f aca="false">MAX(0,-N154)</f>
        <v>1374.2</v>
      </c>
      <c r="Q154" s="4" t="n">
        <f aca="false">P154</f>
        <v>1374.2</v>
      </c>
      <c r="R154" s="4" t="n">
        <f aca="false">O154+Q154</f>
        <v>0</v>
      </c>
    </row>
    <row r="155" customFormat="false" ht="15" hidden="false" customHeight="false" outlineLevel="0" collapsed="false">
      <c r="A155" s="2" t="s">
        <v>44</v>
      </c>
      <c r="B155" s="2" t="s">
        <v>39</v>
      </c>
      <c r="C155" s="12" t="n">
        <v>1</v>
      </c>
      <c r="D155" s="12" t="n">
        <v>2024</v>
      </c>
      <c r="E155" s="4" t="n">
        <f aca="false">INDEX(驱动复算!A2:X2,1,情景参数!B6)</f>
        <v>0</v>
      </c>
      <c r="F155" s="4" t="n">
        <f aca="false">E155*(1-情景参数!D6)</f>
        <v>0</v>
      </c>
      <c r="G155" s="4" t="n">
        <f aca="false">IF(情景参数!E6="原表",驱动复算!U2-驱动复算!W2,驱动复算!P2)</f>
        <v>0</v>
      </c>
      <c r="H155" s="4" t="n">
        <f aca="false">IF(情景参数!E6="原表",驱动复算!W2,F155*情景参数!C6)</f>
        <v>0</v>
      </c>
      <c r="I155" s="4" t="n">
        <f aca="false">IF(情景参数!E6="原表",驱动复算!U2,G155+H155)</f>
        <v>0</v>
      </c>
      <c r="J155" s="4" t="n">
        <f aca="false">(F155-I155)*(1-情景参数!F6)</f>
        <v>0</v>
      </c>
      <c r="K155" s="4" t="n">
        <f aca="false">偿债原表!C3</f>
        <v>0</v>
      </c>
      <c r="L155" s="4" t="n">
        <f aca="false">偿债原表!D3</f>
        <v>1093.2</v>
      </c>
      <c r="M155" s="4" t="n">
        <f aca="false">K155+L155</f>
        <v>1093.2</v>
      </c>
      <c r="N155" s="4" t="n">
        <f aca="false">J155-M155</f>
        <v>-1093.2</v>
      </c>
      <c r="O155" s="4" t="n">
        <f aca="false">O154+N155</f>
        <v>-2467.4</v>
      </c>
      <c r="P155" s="4" t="n">
        <f aca="false">MAX(0,-(R154+N155))</f>
        <v>1093.2</v>
      </c>
      <c r="Q155" s="4" t="n">
        <f aca="false">Q154+P155</f>
        <v>2467.4</v>
      </c>
      <c r="R155" s="4" t="n">
        <f aca="false">O155+Q155</f>
        <v>0</v>
      </c>
    </row>
    <row r="156" customFormat="false" ht="15" hidden="false" customHeight="false" outlineLevel="0" collapsed="false">
      <c r="A156" s="2" t="s">
        <v>44</v>
      </c>
      <c r="B156" s="2" t="s">
        <v>39</v>
      </c>
      <c r="C156" s="12" t="n">
        <v>2</v>
      </c>
      <c r="D156" s="12" t="n">
        <v>2025</v>
      </c>
      <c r="E156" s="4" t="n">
        <f aca="false">INDEX(驱动复算!A3:X3,1,情景参数!B6)</f>
        <v>0</v>
      </c>
      <c r="F156" s="4" t="n">
        <f aca="false">E156*(1-情景参数!D6)</f>
        <v>0</v>
      </c>
      <c r="G156" s="4" t="n">
        <f aca="false">IF(情景参数!E6="原表",驱动复算!U3-驱动复算!W3,驱动复算!P3)</f>
        <v>0</v>
      </c>
      <c r="H156" s="4" t="n">
        <f aca="false">IF(情景参数!E6="原表",驱动复算!W3,F156*情景参数!C6)</f>
        <v>0</v>
      </c>
      <c r="I156" s="4" t="n">
        <f aca="false">IF(情景参数!E6="原表",驱动复算!U3,G156+H156)</f>
        <v>0</v>
      </c>
      <c r="J156" s="4" t="n">
        <f aca="false">(F156-I156)*(1-情景参数!F6)</f>
        <v>0</v>
      </c>
      <c r="K156" s="4" t="n">
        <f aca="false">偿债原表!C4</f>
        <v>0</v>
      </c>
      <c r="L156" s="4" t="n">
        <f aca="false">偿债原表!D4</f>
        <v>1093.2</v>
      </c>
      <c r="M156" s="4" t="n">
        <f aca="false">K156+L156</f>
        <v>1093.2</v>
      </c>
      <c r="N156" s="4" t="n">
        <f aca="false">J156-M156</f>
        <v>-1093.2</v>
      </c>
      <c r="O156" s="4" t="n">
        <f aca="false">O155+N156</f>
        <v>-3560.6</v>
      </c>
      <c r="P156" s="4" t="n">
        <f aca="false">MAX(0,-(R155+N156))</f>
        <v>1093.2</v>
      </c>
      <c r="Q156" s="4" t="n">
        <f aca="false">Q155+P156</f>
        <v>3560.6</v>
      </c>
      <c r="R156" s="4" t="n">
        <f aca="false">O156+Q156</f>
        <v>0</v>
      </c>
    </row>
    <row r="157" customFormat="false" ht="15" hidden="false" customHeight="false" outlineLevel="0" collapsed="false">
      <c r="A157" s="2" t="s">
        <v>44</v>
      </c>
      <c r="B157" s="2" t="s">
        <v>39</v>
      </c>
      <c r="C157" s="12" t="n">
        <v>3</v>
      </c>
      <c r="D157" s="12" t="n">
        <v>2026</v>
      </c>
      <c r="E157" s="4" t="n">
        <f aca="false">INDEX(驱动复算!A4:X4,1,情景参数!B6)</f>
        <v>0</v>
      </c>
      <c r="F157" s="4" t="n">
        <f aca="false">E157*(1-情景参数!D6)</f>
        <v>0</v>
      </c>
      <c r="G157" s="4" t="n">
        <f aca="false">IF(情景参数!E6="原表",驱动复算!U4-驱动复算!W4,驱动复算!P4)</f>
        <v>0</v>
      </c>
      <c r="H157" s="4" t="n">
        <f aca="false">IF(情景参数!E6="原表",驱动复算!W4,F157*情景参数!C6)</f>
        <v>0</v>
      </c>
      <c r="I157" s="4" t="n">
        <f aca="false">IF(情景参数!E6="原表",驱动复算!U4,G157+H157)</f>
        <v>0</v>
      </c>
      <c r="J157" s="4" t="n">
        <f aca="false">(F157-I157)*(1-情景参数!F6)</f>
        <v>0</v>
      </c>
      <c r="K157" s="4" t="n">
        <f aca="false">偿债原表!C5</f>
        <v>0</v>
      </c>
      <c r="L157" s="4" t="n">
        <f aca="false">偿债原表!D5</f>
        <v>1093.2</v>
      </c>
      <c r="M157" s="4" t="n">
        <f aca="false">K157+L157</f>
        <v>1093.2</v>
      </c>
      <c r="N157" s="4" t="n">
        <f aca="false">J157-M157</f>
        <v>-1093.2</v>
      </c>
      <c r="O157" s="4" t="n">
        <f aca="false">O156+N157</f>
        <v>-4653.8</v>
      </c>
      <c r="P157" s="4" t="n">
        <f aca="false">MAX(0,-(R156+N157))</f>
        <v>1093.2</v>
      </c>
      <c r="Q157" s="4" t="n">
        <f aca="false">Q156+P157</f>
        <v>4653.8</v>
      </c>
      <c r="R157" s="4" t="n">
        <f aca="false">O157+Q157</f>
        <v>0</v>
      </c>
    </row>
    <row r="158" customFormat="false" ht="15" hidden="false" customHeight="false" outlineLevel="0" collapsed="false">
      <c r="A158" s="2" t="s">
        <v>44</v>
      </c>
      <c r="B158" s="2" t="s">
        <v>39</v>
      </c>
      <c r="C158" s="12" t="n">
        <v>4</v>
      </c>
      <c r="D158" s="12" t="n">
        <v>2027</v>
      </c>
      <c r="E158" s="4" t="n">
        <f aca="false">INDEX(驱动复算!A5:X5,1,情景参数!B6)</f>
        <v>0</v>
      </c>
      <c r="F158" s="4" t="n">
        <f aca="false">E158*(1-情景参数!D6)</f>
        <v>0</v>
      </c>
      <c r="G158" s="4" t="n">
        <f aca="false">IF(情景参数!E6="原表",驱动复算!U5-驱动复算!W5,驱动复算!P5)</f>
        <v>0</v>
      </c>
      <c r="H158" s="4" t="n">
        <f aca="false">IF(情景参数!E6="原表",驱动复算!W5,F158*情景参数!C6)</f>
        <v>0</v>
      </c>
      <c r="I158" s="4" t="n">
        <f aca="false">IF(情景参数!E6="原表",驱动复算!U5,G158+H158)</f>
        <v>0</v>
      </c>
      <c r="J158" s="4" t="n">
        <f aca="false">(F158-I158)*(1-情景参数!F6)</f>
        <v>0</v>
      </c>
      <c r="K158" s="4" t="n">
        <f aca="false">偿债原表!C6</f>
        <v>0</v>
      </c>
      <c r="L158" s="4" t="n">
        <f aca="false">偿债原表!D6</f>
        <v>1093.2</v>
      </c>
      <c r="M158" s="4" t="n">
        <f aca="false">K158+L158</f>
        <v>1093.2</v>
      </c>
      <c r="N158" s="4" t="n">
        <f aca="false">J158-M158</f>
        <v>-1093.2</v>
      </c>
      <c r="O158" s="4" t="n">
        <f aca="false">O157+N158</f>
        <v>-5747</v>
      </c>
      <c r="P158" s="4" t="n">
        <f aca="false">MAX(0,-(R157+N158))</f>
        <v>1093.2</v>
      </c>
      <c r="Q158" s="4" t="n">
        <f aca="false">Q157+P158</f>
        <v>5747</v>
      </c>
      <c r="R158" s="4" t="n">
        <f aca="false">O158+Q158</f>
        <v>0</v>
      </c>
    </row>
    <row r="159" customFormat="false" ht="15" hidden="false" customHeight="false" outlineLevel="0" collapsed="false">
      <c r="A159" s="2" t="s">
        <v>44</v>
      </c>
      <c r="B159" s="2" t="s">
        <v>39</v>
      </c>
      <c r="C159" s="12" t="n">
        <v>5</v>
      </c>
      <c r="D159" s="12" t="n">
        <v>2028</v>
      </c>
      <c r="E159" s="4" t="n">
        <f aca="false">INDEX(驱动复算!A6:X6,1,情景参数!B6)</f>
        <v>9076.9</v>
      </c>
      <c r="F159" s="4" t="n">
        <f aca="false">E159*(1-情景参数!D6)</f>
        <v>9076.9</v>
      </c>
      <c r="G159" s="4" t="n">
        <f aca="false">IF(情景参数!E6="原表",驱动复算!U6-驱动复算!W6,驱动复算!P6)</f>
        <v>7355</v>
      </c>
      <c r="H159" s="4" t="n">
        <f aca="false">IF(情景参数!E6="原表",驱动复算!W6,F159*情景参数!C6)</f>
        <v>453.845</v>
      </c>
      <c r="I159" s="4" t="n">
        <f aca="false">IF(情景参数!E6="原表",驱动复算!U6,G159+H159)</f>
        <v>7808.845</v>
      </c>
      <c r="J159" s="4" t="n">
        <f aca="false">(F159-I159)*(1-情景参数!F6)</f>
        <v>1268.055</v>
      </c>
      <c r="K159" s="4" t="n">
        <f aca="false">偿债原表!C7</f>
        <v>11000</v>
      </c>
      <c r="L159" s="4" t="n">
        <f aca="false">偿债原表!D7</f>
        <v>1093.2</v>
      </c>
      <c r="M159" s="4" t="n">
        <f aca="false">K159+L159</f>
        <v>12093.2</v>
      </c>
      <c r="N159" s="4" t="n">
        <f aca="false">J159-M159</f>
        <v>-10825.145</v>
      </c>
      <c r="O159" s="4" t="n">
        <f aca="false">O158+N159</f>
        <v>-16572.145</v>
      </c>
      <c r="P159" s="4" t="n">
        <f aca="false">MAX(0,-(R158+N159))</f>
        <v>10825.145</v>
      </c>
      <c r="Q159" s="4" t="n">
        <f aca="false">Q158+P159</f>
        <v>16572.145</v>
      </c>
      <c r="R159" s="4" t="n">
        <f aca="false">O159+Q159</f>
        <v>0</v>
      </c>
    </row>
    <row r="160" customFormat="false" ht="15" hidden="false" customHeight="false" outlineLevel="0" collapsed="false">
      <c r="A160" s="2" t="s">
        <v>44</v>
      </c>
      <c r="B160" s="2" t="s">
        <v>39</v>
      </c>
      <c r="C160" s="12" t="n">
        <v>6</v>
      </c>
      <c r="D160" s="12" t="n">
        <v>2029</v>
      </c>
      <c r="E160" s="4" t="n">
        <f aca="false">INDEX(驱动复算!A7:X7,1,情景参数!B6)</f>
        <v>9965.51</v>
      </c>
      <c r="F160" s="4" t="n">
        <f aca="false">E160*(1-情景参数!D6)</f>
        <v>9965.51</v>
      </c>
      <c r="G160" s="4" t="n">
        <f aca="false">IF(情景参数!E6="原表",驱动复算!U7-驱动复算!W7,驱动复算!P7)</f>
        <v>7575.65</v>
      </c>
      <c r="H160" s="4" t="n">
        <f aca="false">IF(情景参数!E6="原表",驱动复算!W7,F160*情景参数!C6)</f>
        <v>498.2755</v>
      </c>
      <c r="I160" s="4" t="n">
        <f aca="false">IF(情景参数!E6="原表",驱动复算!U7,G160+H160)</f>
        <v>8073.9255</v>
      </c>
      <c r="J160" s="4" t="n">
        <f aca="false">(F160-I160)*(1-情景参数!F6)</f>
        <v>1891.5845</v>
      </c>
      <c r="K160" s="4" t="n">
        <f aca="false">偿债原表!C8</f>
        <v>0</v>
      </c>
      <c r="L160" s="4" t="n">
        <f aca="false">偿债原表!D8</f>
        <v>730.2</v>
      </c>
      <c r="M160" s="4" t="n">
        <f aca="false">K160+L160</f>
        <v>730.2</v>
      </c>
      <c r="N160" s="4" t="n">
        <f aca="false">J160-M160</f>
        <v>1161.3845</v>
      </c>
      <c r="O160" s="4" t="n">
        <f aca="false">O159+N160</f>
        <v>-15410.7605</v>
      </c>
      <c r="P160" s="4" t="n">
        <f aca="false">MAX(0,-(R159+N160))</f>
        <v>0</v>
      </c>
      <c r="Q160" s="4" t="n">
        <f aca="false">Q159+P160</f>
        <v>16572.145</v>
      </c>
      <c r="R160" s="4" t="n">
        <f aca="false">O160+Q160</f>
        <v>1161.3845</v>
      </c>
    </row>
    <row r="161" customFormat="false" ht="15" hidden="false" customHeight="false" outlineLevel="0" collapsed="false">
      <c r="A161" s="2" t="s">
        <v>44</v>
      </c>
      <c r="B161" s="2" t="s">
        <v>39</v>
      </c>
      <c r="C161" s="12" t="n">
        <v>7</v>
      </c>
      <c r="D161" s="12" t="n">
        <v>2030</v>
      </c>
      <c r="E161" s="4" t="n">
        <f aca="false">INDEX(驱动复算!A8:X8,1,情景参数!B6)</f>
        <v>10884.01</v>
      </c>
      <c r="F161" s="4" t="n">
        <f aca="false">E161*(1-情景参数!D6)</f>
        <v>10884.01</v>
      </c>
      <c r="G161" s="4" t="n">
        <f aca="false">IF(情景参数!E6="原表",驱动复算!U8-驱动复算!W8,驱动复算!P8)</f>
        <v>7802.9195</v>
      </c>
      <c r="H161" s="4" t="n">
        <f aca="false">IF(情景参数!E6="原表",驱动复算!W8,F161*情景参数!C6)</f>
        <v>544.2005</v>
      </c>
      <c r="I161" s="4" t="n">
        <f aca="false">IF(情景参数!E6="原表",驱动复算!U8,G161+H161)</f>
        <v>8347.12</v>
      </c>
      <c r="J161" s="4" t="n">
        <f aca="false">(F161-I161)*(1-情景参数!F6)</f>
        <v>2536.89</v>
      </c>
      <c r="K161" s="4" t="n">
        <f aca="false">偿债原表!C9</f>
        <v>0</v>
      </c>
      <c r="L161" s="4" t="n">
        <f aca="false">偿债原表!D9</f>
        <v>730.2</v>
      </c>
      <c r="M161" s="4" t="n">
        <f aca="false">K161+L161</f>
        <v>730.2</v>
      </c>
      <c r="N161" s="4" t="n">
        <f aca="false">J161-M161</f>
        <v>1806.69</v>
      </c>
      <c r="O161" s="4" t="n">
        <f aca="false">O160+N161</f>
        <v>-13604.0705</v>
      </c>
      <c r="P161" s="4" t="n">
        <f aca="false">MAX(0,-(R160+N161))</f>
        <v>0</v>
      </c>
      <c r="Q161" s="4" t="n">
        <f aca="false">Q160+P161</f>
        <v>16572.145</v>
      </c>
      <c r="R161" s="4" t="n">
        <f aca="false">O161+Q161</f>
        <v>2968.0745</v>
      </c>
    </row>
    <row r="162" customFormat="false" ht="15" hidden="false" customHeight="false" outlineLevel="0" collapsed="false">
      <c r="A162" s="2" t="s">
        <v>44</v>
      </c>
      <c r="B162" s="2" t="s">
        <v>39</v>
      </c>
      <c r="C162" s="12" t="n">
        <v>8</v>
      </c>
      <c r="D162" s="12" t="n">
        <v>2031</v>
      </c>
      <c r="E162" s="4" t="n">
        <f aca="false">INDEX(驱动复算!A9:X9,1,情景参数!B6)</f>
        <v>11894.36</v>
      </c>
      <c r="F162" s="4" t="n">
        <f aca="false">E162*(1-情景参数!D6)</f>
        <v>11894.36</v>
      </c>
      <c r="G162" s="4" t="n">
        <f aca="false">IF(情景参数!E6="原表",驱动复算!U9-驱动复算!W9,驱动复算!P9)</f>
        <v>8037.007085</v>
      </c>
      <c r="H162" s="4" t="n">
        <f aca="false">IF(情景参数!E6="原表",驱动复算!W9,F162*情景参数!C6)</f>
        <v>594.718</v>
      </c>
      <c r="I162" s="4" t="n">
        <f aca="false">IF(情景参数!E6="原表",驱动复算!U9,G162+H162)</f>
        <v>8631.725085</v>
      </c>
      <c r="J162" s="4" t="n">
        <f aca="false">(F162-I162)*(1-情景参数!F6)</f>
        <v>3262.634915</v>
      </c>
      <c r="K162" s="4" t="n">
        <f aca="false">偿债原表!C10</f>
        <v>0</v>
      </c>
      <c r="L162" s="4" t="n">
        <f aca="false">偿债原表!D10</f>
        <v>730.2</v>
      </c>
      <c r="M162" s="4" t="n">
        <f aca="false">K162+L162</f>
        <v>730.2</v>
      </c>
      <c r="N162" s="4" t="n">
        <f aca="false">J162-M162</f>
        <v>2532.434915</v>
      </c>
      <c r="O162" s="4" t="n">
        <f aca="false">O161+N162</f>
        <v>-11071.635585</v>
      </c>
      <c r="P162" s="4" t="n">
        <f aca="false">MAX(0,-(R161+N162))</f>
        <v>0</v>
      </c>
      <c r="Q162" s="4" t="n">
        <f aca="false">Q161+P162</f>
        <v>16572.145</v>
      </c>
      <c r="R162" s="4" t="n">
        <f aca="false">O162+Q162</f>
        <v>5500.509415</v>
      </c>
    </row>
    <row r="163" customFormat="false" ht="15" hidden="false" customHeight="false" outlineLevel="0" collapsed="false">
      <c r="A163" s="2" t="s">
        <v>44</v>
      </c>
      <c r="B163" s="2" t="s">
        <v>39</v>
      </c>
      <c r="C163" s="12" t="n">
        <v>9</v>
      </c>
      <c r="D163" s="12" t="n">
        <v>2032</v>
      </c>
      <c r="E163" s="4" t="n">
        <f aca="false">INDEX(驱动复算!A10:X10,1,情景参数!B6)</f>
        <v>13005.745</v>
      </c>
      <c r="F163" s="4" t="n">
        <f aca="false">E163*(1-情景参数!D6)</f>
        <v>13005.745</v>
      </c>
      <c r="G163" s="4" t="n">
        <f aca="false">IF(情景参数!E6="原表",驱动复算!U10-驱动复算!W10,驱动复算!P10)</f>
        <v>8278.11729755</v>
      </c>
      <c r="H163" s="4" t="n">
        <f aca="false">IF(情景参数!E6="原表",驱动复算!W10,F163*情景参数!C6)</f>
        <v>650.28725</v>
      </c>
      <c r="I163" s="4" t="n">
        <f aca="false">IF(情景参数!E6="原表",驱动复算!U10,G163+H163)</f>
        <v>8928.40454755</v>
      </c>
      <c r="J163" s="4" t="n">
        <f aca="false">(F163-I163)*(1-情景参数!F6)</f>
        <v>4077.34045245</v>
      </c>
      <c r="K163" s="4" t="n">
        <f aca="false">偿债原表!C11</f>
        <v>2000</v>
      </c>
      <c r="L163" s="4" t="n">
        <f aca="false">偿债原表!D11</f>
        <v>730.2</v>
      </c>
      <c r="M163" s="4" t="n">
        <f aca="false">K163+L163</f>
        <v>2730.2</v>
      </c>
      <c r="N163" s="4" t="n">
        <f aca="false">J163-M163</f>
        <v>1347.14045245</v>
      </c>
      <c r="O163" s="4" t="n">
        <f aca="false">O162+N163</f>
        <v>-9724.49513254999</v>
      </c>
      <c r="P163" s="4" t="n">
        <f aca="false">MAX(0,-(R162+N163))</f>
        <v>0</v>
      </c>
      <c r="Q163" s="4" t="n">
        <f aca="false">Q162+P163</f>
        <v>16572.145</v>
      </c>
      <c r="R163" s="4" t="n">
        <f aca="false">O163+Q163</f>
        <v>6847.64986745001</v>
      </c>
    </row>
    <row r="164" customFormat="false" ht="15" hidden="false" customHeight="false" outlineLevel="0" collapsed="false">
      <c r="A164" s="2" t="s">
        <v>44</v>
      </c>
      <c r="B164" s="2" t="s">
        <v>39</v>
      </c>
      <c r="C164" s="12" t="n">
        <v>10</v>
      </c>
      <c r="D164" s="12" t="n">
        <v>2033</v>
      </c>
      <c r="E164" s="4" t="n">
        <f aca="false">INDEX(驱动复算!A11:X11,1,情景参数!B6)</f>
        <v>13713.89675</v>
      </c>
      <c r="F164" s="4" t="n">
        <f aca="false">E164*(1-情景参数!D6)</f>
        <v>13713.89675</v>
      </c>
      <c r="G164" s="4" t="n">
        <f aca="false">IF(情景参数!E6="原表",驱动复算!U11-驱动复算!W11,驱动复算!P11)</f>
        <v>8526.4608164765</v>
      </c>
      <c r="H164" s="4" t="n">
        <f aca="false">IF(情景参数!E6="原表",驱动复算!W11,F164*情景参数!C6)</f>
        <v>685.6948375</v>
      </c>
      <c r="I164" s="4" t="n">
        <f aca="false">IF(情景参数!E6="原表",驱动复算!U11,G164+H164)</f>
        <v>9212.1556539765</v>
      </c>
      <c r="J164" s="4" t="n">
        <f aca="false">(F164-I164)*(1-情景参数!F6)</f>
        <v>4501.7410960235</v>
      </c>
      <c r="K164" s="4" t="n">
        <f aca="false">偿债原表!C12</f>
        <v>0</v>
      </c>
      <c r="L164" s="4" t="n">
        <f aca="false">偿债原表!D12</f>
        <v>673.2</v>
      </c>
      <c r="M164" s="4" t="n">
        <f aca="false">K164+L164</f>
        <v>673.2</v>
      </c>
      <c r="N164" s="4" t="n">
        <f aca="false">J164-M164</f>
        <v>3828.5410960235</v>
      </c>
      <c r="O164" s="4" t="n">
        <f aca="false">O163+N164</f>
        <v>-5895.95403652649</v>
      </c>
      <c r="P164" s="4" t="n">
        <f aca="false">MAX(0,-(R163+N164))</f>
        <v>0</v>
      </c>
      <c r="Q164" s="4" t="n">
        <f aca="false">Q163+P164</f>
        <v>16572.145</v>
      </c>
      <c r="R164" s="4" t="n">
        <f aca="false">O164+Q164</f>
        <v>10676.1909634735</v>
      </c>
    </row>
    <row r="165" customFormat="false" ht="15" hidden="false" customHeight="false" outlineLevel="0" collapsed="false">
      <c r="A165" s="2" t="s">
        <v>44</v>
      </c>
      <c r="B165" s="2" t="s">
        <v>39</v>
      </c>
      <c r="C165" s="12" t="n">
        <v>11</v>
      </c>
      <c r="D165" s="12" t="n">
        <v>2034</v>
      </c>
      <c r="E165" s="4" t="n">
        <f aca="false">INDEX(驱动复算!A12:X12,1,情景参数!B6)</f>
        <v>14355.7215875</v>
      </c>
      <c r="F165" s="4" t="n">
        <f aca="false">E165*(1-情景参数!D6)</f>
        <v>14355.7215875</v>
      </c>
      <c r="G165" s="4" t="n">
        <f aca="false">IF(情景参数!E6="原表",驱动复算!U12-驱动复算!W12,驱动复算!P12)</f>
        <v>8782.2546409708</v>
      </c>
      <c r="H165" s="4" t="n">
        <f aca="false">IF(情景参数!E6="原表",驱动复算!W12,F165*情景参数!C6)</f>
        <v>717.786079375</v>
      </c>
      <c r="I165" s="4" t="n">
        <f aca="false">IF(情景参数!E6="原表",驱动复算!U12,G165+H165)</f>
        <v>9500.0407203458</v>
      </c>
      <c r="J165" s="4" t="n">
        <f aca="false">(F165-I165)*(1-情景参数!F6)</f>
        <v>4855.68086715421</v>
      </c>
      <c r="K165" s="4" t="n">
        <f aca="false">偿债原表!C13</f>
        <v>0</v>
      </c>
      <c r="L165" s="4" t="n">
        <f aca="false">偿债原表!D13</f>
        <v>673.2</v>
      </c>
      <c r="M165" s="4" t="n">
        <f aca="false">K165+L165</f>
        <v>673.2</v>
      </c>
      <c r="N165" s="4" t="n">
        <f aca="false">J165-M165</f>
        <v>4182.48086715421</v>
      </c>
      <c r="O165" s="4" t="n">
        <f aca="false">O164+N165</f>
        <v>-1713.47316937228</v>
      </c>
      <c r="P165" s="4" t="n">
        <f aca="false">MAX(0,-(R164+N165))</f>
        <v>0</v>
      </c>
      <c r="Q165" s="4" t="n">
        <f aca="false">Q164+P165</f>
        <v>16572.145</v>
      </c>
      <c r="R165" s="4" t="n">
        <f aca="false">O165+Q165</f>
        <v>14858.6718306277</v>
      </c>
    </row>
    <row r="166" customFormat="false" ht="15" hidden="false" customHeight="false" outlineLevel="0" collapsed="false">
      <c r="A166" s="2" t="s">
        <v>44</v>
      </c>
      <c r="B166" s="2" t="s">
        <v>39</v>
      </c>
      <c r="C166" s="12" t="n">
        <v>12</v>
      </c>
      <c r="D166" s="12" t="n">
        <v>2035</v>
      </c>
      <c r="E166" s="4" t="n">
        <f aca="false">INDEX(驱动复算!A13:X13,1,情景参数!B6)</f>
        <v>15029.637666875</v>
      </c>
      <c r="F166" s="4" t="n">
        <f aca="false">E166*(1-情景参数!D6)</f>
        <v>15029.637666875</v>
      </c>
      <c r="G166" s="4" t="n">
        <f aca="false">IF(情景参数!E6="原表",驱动复算!U13-驱动复算!W13,驱动复算!P13)</f>
        <v>9045.72228019992</v>
      </c>
      <c r="H166" s="4" t="n">
        <f aca="false">IF(情景参数!E6="原表",驱动复算!W13,F166*情景参数!C6)</f>
        <v>751.48188334375</v>
      </c>
      <c r="I166" s="4" t="n">
        <f aca="false">IF(情景参数!E6="原表",驱动复算!U13,G166+H166)</f>
        <v>9797.20416354367</v>
      </c>
      <c r="J166" s="4" t="n">
        <f aca="false">(F166-I166)*(1-情景参数!F6)</f>
        <v>5232.43350333134</v>
      </c>
      <c r="K166" s="4" t="n">
        <f aca="false">偿债原表!C14</f>
        <v>0</v>
      </c>
      <c r="L166" s="4" t="n">
        <f aca="false">偿债原表!D14</f>
        <v>673.2</v>
      </c>
      <c r="M166" s="4" t="n">
        <f aca="false">K166+L166</f>
        <v>673.2</v>
      </c>
      <c r="N166" s="4" t="n">
        <f aca="false">J166-M166</f>
        <v>4559.23350333134</v>
      </c>
      <c r="O166" s="4" t="n">
        <f aca="false">O165+N166</f>
        <v>2845.76033395906</v>
      </c>
      <c r="P166" s="4" t="n">
        <f aca="false">MAX(0,-(R165+N166))</f>
        <v>0</v>
      </c>
      <c r="Q166" s="4" t="n">
        <f aca="false">Q165+P166</f>
        <v>16572.145</v>
      </c>
      <c r="R166" s="4" t="n">
        <f aca="false">O166+Q166</f>
        <v>19417.9053339591</v>
      </c>
    </row>
    <row r="167" customFormat="false" ht="15" hidden="false" customHeight="false" outlineLevel="0" collapsed="false">
      <c r="A167" s="2" t="s">
        <v>44</v>
      </c>
      <c r="B167" s="2" t="s">
        <v>39</v>
      </c>
      <c r="C167" s="12" t="n">
        <v>13</v>
      </c>
      <c r="D167" s="12" t="n">
        <v>2036</v>
      </c>
      <c r="E167" s="4" t="n">
        <f aca="false">INDEX(驱动复算!A14:X14,1,情景参数!B6)</f>
        <v>15737.2495502188</v>
      </c>
      <c r="F167" s="4" t="n">
        <f aca="false">E167*(1-情景参数!D6)</f>
        <v>15737.2495502188</v>
      </c>
      <c r="G167" s="4" t="n">
        <f aca="false">IF(情景参数!E6="原表",驱动复算!U14-驱动复算!W14,驱动复算!P14)</f>
        <v>9317.09394860592</v>
      </c>
      <c r="H167" s="4" t="n">
        <f aca="false">IF(情景参数!E6="原表",驱动复算!W14,F167*情景参数!C6)</f>
        <v>786.862477510938</v>
      </c>
      <c r="I167" s="4" t="n">
        <f aca="false">IF(情景参数!E6="原表",驱动复算!U14,G167+H167)</f>
        <v>10103.9564261169</v>
      </c>
      <c r="J167" s="4" t="n">
        <f aca="false">(F167-I167)*(1-情景参数!F6)</f>
        <v>5633.2931241019</v>
      </c>
      <c r="K167" s="4" t="n">
        <f aca="false">偿债原表!C15</f>
        <v>0</v>
      </c>
      <c r="L167" s="4" t="n">
        <f aca="false">偿债原表!D15</f>
        <v>673.2</v>
      </c>
      <c r="M167" s="4" t="n">
        <f aca="false">K167+L167</f>
        <v>673.2</v>
      </c>
      <c r="N167" s="4" t="n">
        <f aca="false">J167-M167</f>
        <v>4960.0931241019</v>
      </c>
      <c r="O167" s="4" t="n">
        <f aca="false">O166+N167</f>
        <v>7805.85345806096</v>
      </c>
      <c r="P167" s="4" t="n">
        <f aca="false">MAX(0,-(R166+N167))</f>
        <v>0</v>
      </c>
      <c r="Q167" s="4" t="n">
        <f aca="false">Q166+P167</f>
        <v>16572.145</v>
      </c>
      <c r="R167" s="4" t="n">
        <f aca="false">O167+Q167</f>
        <v>24377.998458061</v>
      </c>
    </row>
    <row r="168" customFormat="false" ht="15" hidden="false" customHeight="false" outlineLevel="0" collapsed="false">
      <c r="A168" s="2" t="s">
        <v>44</v>
      </c>
      <c r="B168" s="2" t="s">
        <v>39</v>
      </c>
      <c r="C168" s="12" t="n">
        <v>14</v>
      </c>
      <c r="D168" s="12" t="n">
        <v>2037</v>
      </c>
      <c r="E168" s="4" t="n">
        <f aca="false">INDEX(驱动复算!A15:X15,1,情景参数!B6)</f>
        <v>16480.2420277297</v>
      </c>
      <c r="F168" s="4" t="n">
        <f aca="false">E168*(1-情景参数!D6)</f>
        <v>16480.2420277297</v>
      </c>
      <c r="G168" s="4" t="n">
        <f aca="false">IF(情景参数!E6="原表",驱动复算!U15-驱动复算!W15,驱动复算!P15)</f>
        <v>9596.6067670641</v>
      </c>
      <c r="H168" s="4" t="n">
        <f aca="false">IF(情景参数!E6="原表",驱动复算!W15,F168*情景参数!C6)</f>
        <v>824.012101386485</v>
      </c>
      <c r="I168" s="4" t="n">
        <f aca="false">IF(情景参数!E6="原表",驱动复算!U15,G168+H168)</f>
        <v>10420.6188684506</v>
      </c>
      <c r="J168" s="4" t="n">
        <f aca="false">(F168-I168)*(1-情景参数!F6)</f>
        <v>6059.62315927912</v>
      </c>
      <c r="K168" s="4" t="n">
        <f aca="false">偿债原表!C16</f>
        <v>1000</v>
      </c>
      <c r="L168" s="4" t="n">
        <f aca="false">偿债原表!D16</f>
        <v>673.2</v>
      </c>
      <c r="M168" s="4" t="n">
        <f aca="false">K168+L168</f>
        <v>1673.2</v>
      </c>
      <c r="N168" s="4" t="n">
        <f aca="false">J168-M168</f>
        <v>4386.42315927912</v>
      </c>
      <c r="O168" s="4" t="n">
        <f aca="false">O167+N168</f>
        <v>12192.2766173401</v>
      </c>
      <c r="P168" s="4" t="n">
        <f aca="false">MAX(0,-(R167+N168))</f>
        <v>0</v>
      </c>
      <c r="Q168" s="4" t="n">
        <f aca="false">Q167+P168</f>
        <v>16572.145</v>
      </c>
      <c r="R168" s="4" t="n">
        <f aca="false">O168+Q168</f>
        <v>28764.4216173401</v>
      </c>
    </row>
    <row r="169" customFormat="false" ht="15" hidden="false" customHeight="false" outlineLevel="0" collapsed="false">
      <c r="A169" s="2" t="s">
        <v>44</v>
      </c>
      <c r="B169" s="2" t="s">
        <v>39</v>
      </c>
      <c r="C169" s="12" t="n">
        <v>15</v>
      </c>
      <c r="D169" s="12" t="n">
        <v>2038</v>
      </c>
      <c r="E169" s="4" t="n">
        <f aca="false">INDEX(驱动复算!A16:X16,1,情景参数!B6)</f>
        <v>16821.7888682843</v>
      </c>
      <c r="F169" s="4" t="n">
        <f aca="false">E169*(1-情景参数!D6)</f>
        <v>16821.7888682843</v>
      </c>
      <c r="G169" s="4" t="n">
        <f aca="false">IF(情景参数!E6="原表",驱动复算!U16-驱动复算!W16,驱动复算!P16)</f>
        <v>9884.50497007602</v>
      </c>
      <c r="H169" s="4" t="n">
        <f aca="false">IF(情景参数!E6="原表",驱动复算!W16,F169*情景参数!C6)</f>
        <v>841.089443414215</v>
      </c>
      <c r="I169" s="4" t="n">
        <f aca="false">IF(情景参数!E6="原表",驱动复算!U16,G169+H169)</f>
        <v>10725.5944134902</v>
      </c>
      <c r="J169" s="4" t="n">
        <f aca="false">(F169-I169)*(1-情景参数!F6)</f>
        <v>6096.19445479406</v>
      </c>
      <c r="K169" s="4" t="n">
        <f aca="false">偿债原表!C17</f>
        <v>0</v>
      </c>
      <c r="L169" s="4" t="n">
        <f aca="false">偿债原表!D17</f>
        <v>644</v>
      </c>
      <c r="M169" s="4" t="n">
        <f aca="false">K169+L169</f>
        <v>644</v>
      </c>
      <c r="N169" s="4" t="n">
        <f aca="false">J169-M169</f>
        <v>5452.19445479406</v>
      </c>
      <c r="O169" s="4" t="n">
        <f aca="false">O168+N169</f>
        <v>17644.4710721341</v>
      </c>
      <c r="P169" s="4" t="n">
        <f aca="false">MAX(0,-(R168+N169))</f>
        <v>0</v>
      </c>
      <c r="Q169" s="4" t="n">
        <f aca="false">Q168+P169</f>
        <v>16572.145</v>
      </c>
      <c r="R169" s="4" t="n">
        <f aca="false">O169+Q169</f>
        <v>34216.6160721341</v>
      </c>
    </row>
    <row r="170" customFormat="false" ht="15" hidden="false" customHeight="false" outlineLevel="0" collapsed="false">
      <c r="A170" s="2" t="s">
        <v>44</v>
      </c>
      <c r="B170" s="2" t="s">
        <v>39</v>
      </c>
      <c r="C170" s="12" t="n">
        <v>16</v>
      </c>
      <c r="D170" s="12" t="n">
        <v>2039</v>
      </c>
      <c r="E170" s="4" t="n">
        <f aca="false">INDEX(驱动复算!A17:X17,1,情景参数!B6)</f>
        <v>17140.08684565</v>
      </c>
      <c r="F170" s="4" t="n">
        <f aca="false">E170*(1-情景参数!D6)</f>
        <v>17140.08684565</v>
      </c>
      <c r="G170" s="4" t="n">
        <f aca="false">IF(情景参数!E6="原表",驱动复算!U17-驱动复算!W17,驱动复算!P17)</f>
        <v>10181.0401191783</v>
      </c>
      <c r="H170" s="4" t="n">
        <f aca="false">IF(情景参数!E6="原表",驱动复算!W17,F170*情景参数!C6)</f>
        <v>857.004342282499</v>
      </c>
      <c r="I170" s="4" t="n">
        <f aca="false">IF(情景参数!E6="原表",驱动复算!U17,G170+H170)</f>
        <v>11038.0444614608</v>
      </c>
      <c r="J170" s="4" t="n">
        <f aca="false">(F170-I170)*(1-情景参数!F6)</f>
        <v>6102.04238418918</v>
      </c>
      <c r="K170" s="4" t="n">
        <f aca="false">偿债原表!C18</f>
        <v>0</v>
      </c>
      <c r="L170" s="4" t="n">
        <f aca="false">偿债原表!D18</f>
        <v>644</v>
      </c>
      <c r="M170" s="4" t="n">
        <f aca="false">K170+L170</f>
        <v>644</v>
      </c>
      <c r="N170" s="4" t="n">
        <f aca="false">J170-M170</f>
        <v>5458.04238418918</v>
      </c>
      <c r="O170" s="4" t="n">
        <f aca="false">O169+N170</f>
        <v>23102.5134563233</v>
      </c>
      <c r="P170" s="4" t="n">
        <f aca="false">MAX(0,-(R169+N170))</f>
        <v>0</v>
      </c>
      <c r="Q170" s="4" t="n">
        <f aca="false">Q169+P170</f>
        <v>16572.145</v>
      </c>
      <c r="R170" s="4" t="n">
        <f aca="false">O170+Q170</f>
        <v>39674.6584563233</v>
      </c>
    </row>
    <row r="171" customFormat="false" ht="15" hidden="false" customHeight="false" outlineLevel="0" collapsed="false">
      <c r="A171" s="2" t="s">
        <v>44</v>
      </c>
      <c r="B171" s="2" t="s">
        <v>39</v>
      </c>
      <c r="C171" s="12" t="n">
        <v>17</v>
      </c>
      <c r="D171" s="12" t="n">
        <v>2040</v>
      </c>
      <c r="E171" s="4" t="n">
        <f aca="false">INDEX(驱动复算!A18:X18,1,情景参数!B6)</f>
        <v>17464.750782563</v>
      </c>
      <c r="F171" s="4" t="n">
        <f aca="false">E171*(1-情景参数!D6)</f>
        <v>17464.750782563</v>
      </c>
      <c r="G171" s="4" t="n">
        <f aca="false">IF(情景参数!E6="原表",驱动复算!U18-驱动复算!W18,驱动复算!P18)</f>
        <v>10486.4713227536</v>
      </c>
      <c r="H171" s="4" t="n">
        <f aca="false">IF(情景参数!E6="原表",驱动复算!W18,F171*情景参数!C6)</f>
        <v>873.237539128149</v>
      </c>
      <c r="I171" s="4" t="n">
        <f aca="false">IF(情景参数!E6="原表",驱动复算!U18,G171+H171)</f>
        <v>11359.7088618818</v>
      </c>
      <c r="J171" s="4" t="n">
        <f aca="false">(F171-I171)*(1-情景参数!F6)</f>
        <v>6105.04192068118</v>
      </c>
      <c r="K171" s="4" t="n">
        <f aca="false">偿债原表!C19</f>
        <v>0</v>
      </c>
      <c r="L171" s="4" t="n">
        <f aca="false">偿债原表!D19</f>
        <v>644</v>
      </c>
      <c r="M171" s="4" t="n">
        <f aca="false">K171+L171</f>
        <v>644</v>
      </c>
      <c r="N171" s="4" t="n">
        <f aca="false">J171-M171</f>
        <v>5461.04192068118</v>
      </c>
      <c r="O171" s="4" t="n">
        <f aca="false">O170+N171</f>
        <v>28563.5553770045</v>
      </c>
      <c r="P171" s="4" t="n">
        <f aca="false">MAX(0,-(R170+N171))</f>
        <v>0</v>
      </c>
      <c r="Q171" s="4" t="n">
        <f aca="false">Q170+P171</f>
        <v>16572.145</v>
      </c>
      <c r="R171" s="4" t="n">
        <f aca="false">O171+Q171</f>
        <v>45135.7003770045</v>
      </c>
    </row>
    <row r="172" customFormat="false" ht="15" hidden="false" customHeight="false" outlineLevel="0" collapsed="false">
      <c r="A172" s="2" t="s">
        <v>44</v>
      </c>
      <c r="B172" s="2" t="s">
        <v>39</v>
      </c>
      <c r="C172" s="12" t="n">
        <v>18</v>
      </c>
      <c r="D172" s="12" t="n">
        <v>2041</v>
      </c>
      <c r="E172" s="4" t="n">
        <f aca="false">INDEX(驱动复算!A19:X19,1,情景参数!B6)</f>
        <v>17795.9079982142</v>
      </c>
      <c r="F172" s="4" t="n">
        <f aca="false">E172*(1-情景参数!D6)</f>
        <v>17795.9079982142</v>
      </c>
      <c r="G172" s="4" t="n">
        <f aca="false">IF(情景参数!E6="原表",驱动复算!U19-驱动复算!W19,驱动复算!P19)</f>
        <v>10801.0654624363</v>
      </c>
      <c r="H172" s="4" t="n">
        <f aca="false">IF(情景参数!E6="原表",驱动复算!W19,F172*情景参数!C6)</f>
        <v>889.795399910712</v>
      </c>
      <c r="I172" s="4" t="n">
        <f aca="false">IF(情景参数!E6="原表",驱动复算!U19,G172+H172)</f>
        <v>11690.860862347</v>
      </c>
      <c r="J172" s="4" t="n">
        <f aca="false">(F172-I172)*(1-情景参数!F6)</f>
        <v>6105.04713586726</v>
      </c>
      <c r="K172" s="4" t="n">
        <f aca="false">偿债原表!C20</f>
        <v>20000</v>
      </c>
      <c r="L172" s="4" t="n">
        <f aca="false">偿债原表!D20</f>
        <v>644</v>
      </c>
      <c r="M172" s="4" t="n">
        <f aca="false">K172+L172</f>
        <v>20644</v>
      </c>
      <c r="N172" s="4" t="n">
        <f aca="false">J172-M172</f>
        <v>-14538.9528641327</v>
      </c>
      <c r="O172" s="4" t="n">
        <f aca="false">O171+N172</f>
        <v>14024.6025128718</v>
      </c>
      <c r="P172" s="4" t="n">
        <f aca="false">MAX(0,-(R171+N172))</f>
        <v>0</v>
      </c>
      <c r="Q172" s="4" t="n">
        <f aca="false">Q171+P172</f>
        <v>16572.145</v>
      </c>
      <c r="R172" s="4" t="n">
        <f aca="false">O172+Q172</f>
        <v>30596.7475128718</v>
      </c>
    </row>
    <row r="173" customFormat="false" ht="15" hidden="false" customHeight="false" outlineLevel="0" collapsed="false">
      <c r="A173" s="2" t="s">
        <v>44</v>
      </c>
      <c r="B173" s="2" t="s">
        <v>40</v>
      </c>
      <c r="C173" s="12" t="n">
        <v>0</v>
      </c>
      <c r="D173" s="13" t="s">
        <v>248</v>
      </c>
      <c r="E173" s="4" t="n">
        <f aca="false">0</f>
        <v>0</v>
      </c>
      <c r="F173" s="4" t="n">
        <f aca="false">E173*(1-情景参数!D6)</f>
        <v>0</v>
      </c>
      <c r="G173" s="4" t="n">
        <f aca="false">0</f>
        <v>0</v>
      </c>
      <c r="H173" s="4" t="n">
        <f aca="false">0</f>
        <v>0</v>
      </c>
      <c r="I173" s="4" t="n">
        <f aca="false">0</f>
        <v>0</v>
      </c>
      <c r="J173" s="4" t="n">
        <f aca="false">(F173-I173)*(1-情景参数!F6)</f>
        <v>0</v>
      </c>
      <c r="K173" s="4" t="n">
        <f aca="false">偿债原表!F2</f>
        <v>0</v>
      </c>
      <c r="L173" s="4" t="n">
        <f aca="false">偿债原表!G2</f>
        <v>1374.2</v>
      </c>
      <c r="M173" s="4" t="n">
        <f aca="false">K173+L173</f>
        <v>1374.2</v>
      </c>
      <c r="N173" s="4" t="n">
        <f aca="false">J173-M173</f>
        <v>-1374.2</v>
      </c>
      <c r="O173" s="4" t="n">
        <f aca="false">N173</f>
        <v>-1374.2</v>
      </c>
      <c r="P173" s="4" t="n">
        <f aca="false">MAX(0,-N173)</f>
        <v>1374.2</v>
      </c>
      <c r="Q173" s="4" t="n">
        <f aca="false">P173</f>
        <v>1374.2</v>
      </c>
      <c r="R173" s="4" t="n">
        <f aca="false">O173+Q173</f>
        <v>0</v>
      </c>
    </row>
    <row r="174" customFormat="false" ht="15" hidden="false" customHeight="false" outlineLevel="0" collapsed="false">
      <c r="A174" s="2" t="s">
        <v>44</v>
      </c>
      <c r="B174" s="2" t="s">
        <v>40</v>
      </c>
      <c r="C174" s="12" t="n">
        <v>1</v>
      </c>
      <c r="D174" s="12" t="n">
        <v>2024</v>
      </c>
      <c r="E174" s="4" t="n">
        <f aca="false">INDEX(驱动复算!A2:X2,1,情景参数!B6)</f>
        <v>0</v>
      </c>
      <c r="F174" s="4" t="n">
        <f aca="false">E174*(1-情景参数!D6)</f>
        <v>0</v>
      </c>
      <c r="G174" s="4" t="n">
        <f aca="false">IF(情景参数!E6="原表",驱动复算!U2-驱动复算!W2,驱动复算!P2)</f>
        <v>0</v>
      </c>
      <c r="H174" s="4" t="n">
        <f aca="false">IF(情景参数!E6="原表",驱动复算!W2,F174*情景参数!C6)</f>
        <v>0</v>
      </c>
      <c r="I174" s="4" t="n">
        <f aca="false">IF(情景参数!E6="原表",驱动复算!U2,G174+H174)</f>
        <v>0</v>
      </c>
      <c r="J174" s="4" t="n">
        <f aca="false">(F174-I174)*(1-情景参数!F6)</f>
        <v>0</v>
      </c>
      <c r="K174" s="4" t="n">
        <f aca="false">偿债原表!F3</f>
        <v>0</v>
      </c>
      <c r="L174" s="4" t="n">
        <f aca="false">偿债原表!G3</f>
        <v>1107.58</v>
      </c>
      <c r="M174" s="4" t="n">
        <f aca="false">K174+L174</f>
        <v>1107.58</v>
      </c>
      <c r="N174" s="4" t="n">
        <f aca="false">J174-M174</f>
        <v>-1107.58</v>
      </c>
      <c r="O174" s="4" t="n">
        <f aca="false">O173+N174</f>
        <v>-2481.78</v>
      </c>
      <c r="P174" s="4" t="n">
        <f aca="false">MAX(0,-(R173+N174))</f>
        <v>1107.58</v>
      </c>
      <c r="Q174" s="4" t="n">
        <f aca="false">Q173+P174</f>
        <v>2481.78</v>
      </c>
      <c r="R174" s="4" t="n">
        <f aca="false">O174+Q174</f>
        <v>0</v>
      </c>
    </row>
    <row r="175" customFormat="false" ht="15" hidden="false" customHeight="false" outlineLevel="0" collapsed="false">
      <c r="A175" s="2" t="s">
        <v>44</v>
      </c>
      <c r="B175" s="2" t="s">
        <v>40</v>
      </c>
      <c r="C175" s="12" t="n">
        <v>2</v>
      </c>
      <c r="D175" s="12" t="n">
        <v>2025</v>
      </c>
      <c r="E175" s="4" t="n">
        <f aca="false">INDEX(驱动复算!A3:X3,1,情景参数!B6)</f>
        <v>0</v>
      </c>
      <c r="F175" s="4" t="n">
        <f aca="false">E175*(1-情景参数!D6)</f>
        <v>0</v>
      </c>
      <c r="G175" s="4" t="n">
        <f aca="false">IF(情景参数!E6="原表",驱动复算!U3-驱动复算!W3,驱动复算!P3)</f>
        <v>0</v>
      </c>
      <c r="H175" s="4" t="n">
        <f aca="false">IF(情景参数!E6="原表",驱动复算!W3,F175*情景参数!C6)</f>
        <v>0</v>
      </c>
      <c r="I175" s="4" t="n">
        <f aca="false">IF(情景参数!E6="原表",驱动复算!U3,G175+H175)</f>
        <v>0</v>
      </c>
      <c r="J175" s="4" t="n">
        <f aca="false">(F175-I175)*(1-情景参数!F6)</f>
        <v>0</v>
      </c>
      <c r="K175" s="4" t="n">
        <f aca="false">偿债原表!F4</f>
        <v>0</v>
      </c>
      <c r="L175" s="4" t="n">
        <f aca="false">偿债原表!G4</f>
        <v>1107.58</v>
      </c>
      <c r="M175" s="4" t="n">
        <f aca="false">K175+L175</f>
        <v>1107.58</v>
      </c>
      <c r="N175" s="4" t="n">
        <f aca="false">J175-M175</f>
        <v>-1107.58</v>
      </c>
      <c r="O175" s="4" t="n">
        <f aca="false">O174+N175</f>
        <v>-3589.36</v>
      </c>
      <c r="P175" s="4" t="n">
        <f aca="false">MAX(0,-(R174+N175))</f>
        <v>1107.58</v>
      </c>
      <c r="Q175" s="4" t="n">
        <f aca="false">Q174+P175</f>
        <v>3589.36</v>
      </c>
      <c r="R175" s="4" t="n">
        <f aca="false">O175+Q175</f>
        <v>0</v>
      </c>
    </row>
    <row r="176" customFormat="false" ht="15" hidden="false" customHeight="false" outlineLevel="0" collapsed="false">
      <c r="A176" s="2" t="s">
        <v>44</v>
      </c>
      <c r="B176" s="2" t="s">
        <v>40</v>
      </c>
      <c r="C176" s="12" t="n">
        <v>3</v>
      </c>
      <c r="D176" s="12" t="n">
        <v>2026</v>
      </c>
      <c r="E176" s="4" t="n">
        <f aca="false">INDEX(驱动复算!A4:X4,1,情景参数!B6)</f>
        <v>0</v>
      </c>
      <c r="F176" s="4" t="n">
        <f aca="false">E176*(1-情景参数!D6)</f>
        <v>0</v>
      </c>
      <c r="G176" s="4" t="n">
        <f aca="false">IF(情景参数!E6="原表",驱动复算!U4-驱动复算!W4,驱动复算!P4)</f>
        <v>0</v>
      </c>
      <c r="H176" s="4" t="n">
        <f aca="false">IF(情景参数!E6="原表",驱动复算!W4,F176*情景参数!C6)</f>
        <v>0</v>
      </c>
      <c r="I176" s="4" t="n">
        <f aca="false">IF(情景参数!E6="原表",驱动复算!U4,G176+H176)</f>
        <v>0</v>
      </c>
      <c r="J176" s="4" t="n">
        <f aca="false">(F176-I176)*(1-情景参数!F6)</f>
        <v>0</v>
      </c>
      <c r="K176" s="4" t="n">
        <f aca="false">偿债原表!F5</f>
        <v>0</v>
      </c>
      <c r="L176" s="4" t="n">
        <f aca="false">偿债原表!G5</f>
        <v>1107.58</v>
      </c>
      <c r="M176" s="4" t="n">
        <f aca="false">K176+L176</f>
        <v>1107.58</v>
      </c>
      <c r="N176" s="4" t="n">
        <f aca="false">J176-M176</f>
        <v>-1107.58</v>
      </c>
      <c r="O176" s="4" t="n">
        <f aca="false">O175+N176</f>
        <v>-4696.94</v>
      </c>
      <c r="P176" s="4" t="n">
        <f aca="false">MAX(0,-(R175+N176))</f>
        <v>1107.58</v>
      </c>
      <c r="Q176" s="4" t="n">
        <f aca="false">Q175+P176</f>
        <v>4696.94</v>
      </c>
      <c r="R176" s="4" t="n">
        <f aca="false">O176+Q176</f>
        <v>0</v>
      </c>
    </row>
    <row r="177" customFormat="false" ht="15" hidden="false" customHeight="false" outlineLevel="0" collapsed="false">
      <c r="A177" s="2" t="s">
        <v>44</v>
      </c>
      <c r="B177" s="2" t="s">
        <v>40</v>
      </c>
      <c r="C177" s="12" t="n">
        <v>4</v>
      </c>
      <c r="D177" s="12" t="n">
        <v>2027</v>
      </c>
      <c r="E177" s="4" t="n">
        <f aca="false">INDEX(驱动复算!A5:X5,1,情景参数!B6)</f>
        <v>0</v>
      </c>
      <c r="F177" s="4" t="n">
        <f aca="false">E177*(1-情景参数!D6)</f>
        <v>0</v>
      </c>
      <c r="G177" s="4" t="n">
        <f aca="false">IF(情景参数!E6="原表",驱动复算!U5-驱动复算!W5,驱动复算!P5)</f>
        <v>0</v>
      </c>
      <c r="H177" s="4" t="n">
        <f aca="false">IF(情景参数!E6="原表",驱动复算!W5,F177*情景参数!C6)</f>
        <v>0</v>
      </c>
      <c r="I177" s="4" t="n">
        <f aca="false">IF(情景参数!E6="原表",驱动复算!U5,G177+H177)</f>
        <v>0</v>
      </c>
      <c r="J177" s="4" t="n">
        <f aca="false">(F177-I177)*(1-情景参数!F6)</f>
        <v>0</v>
      </c>
      <c r="K177" s="4" t="n">
        <f aca="false">偿债原表!F6</f>
        <v>0</v>
      </c>
      <c r="L177" s="4" t="n">
        <f aca="false">偿债原表!G6</f>
        <v>1107.58</v>
      </c>
      <c r="M177" s="4" t="n">
        <f aca="false">K177+L177</f>
        <v>1107.58</v>
      </c>
      <c r="N177" s="4" t="n">
        <f aca="false">J177-M177</f>
        <v>-1107.58</v>
      </c>
      <c r="O177" s="4" t="n">
        <f aca="false">O176+N177</f>
        <v>-5804.52</v>
      </c>
      <c r="P177" s="4" t="n">
        <f aca="false">MAX(0,-(R176+N177))</f>
        <v>1107.58</v>
      </c>
      <c r="Q177" s="4" t="n">
        <f aca="false">Q176+P177</f>
        <v>5804.52</v>
      </c>
      <c r="R177" s="4" t="n">
        <f aca="false">O177+Q177</f>
        <v>0</v>
      </c>
    </row>
    <row r="178" customFormat="false" ht="15" hidden="false" customHeight="false" outlineLevel="0" collapsed="false">
      <c r="A178" s="2" t="s">
        <v>44</v>
      </c>
      <c r="B178" s="2" t="s">
        <v>40</v>
      </c>
      <c r="C178" s="12" t="n">
        <v>5</v>
      </c>
      <c r="D178" s="12" t="n">
        <v>2028</v>
      </c>
      <c r="E178" s="4" t="n">
        <f aca="false">INDEX(驱动复算!A6:X6,1,情景参数!B6)</f>
        <v>9076.9</v>
      </c>
      <c r="F178" s="4" t="n">
        <f aca="false">E178*(1-情景参数!D6)</f>
        <v>9076.9</v>
      </c>
      <c r="G178" s="4" t="n">
        <f aca="false">IF(情景参数!E6="原表",驱动复算!U6-驱动复算!W6,驱动复算!P6)</f>
        <v>7355</v>
      </c>
      <c r="H178" s="4" t="n">
        <f aca="false">IF(情景参数!E6="原表",驱动复算!W6,F178*情景参数!C6)</f>
        <v>453.845</v>
      </c>
      <c r="I178" s="4" t="n">
        <f aca="false">IF(情景参数!E6="原表",驱动复算!U6,G178+H178)</f>
        <v>7808.845</v>
      </c>
      <c r="J178" s="4" t="n">
        <f aca="false">(F178-I178)*(1-情景参数!F6)</f>
        <v>1268.055</v>
      </c>
      <c r="K178" s="4" t="n">
        <f aca="false">偿债原表!F7</f>
        <v>1400</v>
      </c>
      <c r="L178" s="4" t="n">
        <f aca="false">偿债原表!G7</f>
        <v>1107.58</v>
      </c>
      <c r="M178" s="4" t="n">
        <f aca="false">K178+L178</f>
        <v>2507.58</v>
      </c>
      <c r="N178" s="4" t="n">
        <f aca="false">J178-M178</f>
        <v>-1239.525</v>
      </c>
      <c r="O178" s="4" t="n">
        <f aca="false">O177+N178</f>
        <v>-7044.045</v>
      </c>
      <c r="P178" s="4" t="n">
        <f aca="false">MAX(0,-(R177+N178))</f>
        <v>1239.525</v>
      </c>
      <c r="Q178" s="4" t="n">
        <f aca="false">Q177+P178</f>
        <v>7044.045</v>
      </c>
      <c r="R178" s="4" t="n">
        <f aca="false">O178+Q178</f>
        <v>0</v>
      </c>
    </row>
    <row r="179" customFormat="false" ht="15" hidden="false" customHeight="false" outlineLevel="0" collapsed="false">
      <c r="A179" s="2" t="s">
        <v>44</v>
      </c>
      <c r="B179" s="2" t="s">
        <v>40</v>
      </c>
      <c r="C179" s="12" t="n">
        <v>6</v>
      </c>
      <c r="D179" s="12" t="n">
        <v>2029</v>
      </c>
      <c r="E179" s="4" t="n">
        <f aca="false">INDEX(驱动复算!A7:X7,1,情景参数!B6)</f>
        <v>9965.51</v>
      </c>
      <c r="F179" s="4" t="n">
        <f aca="false">E179*(1-情景参数!D6)</f>
        <v>9965.51</v>
      </c>
      <c r="G179" s="4" t="n">
        <f aca="false">IF(情景参数!E6="原表",驱动复算!U7-驱动复算!W7,驱动复算!P7)</f>
        <v>7575.65</v>
      </c>
      <c r="H179" s="4" t="n">
        <f aca="false">IF(情景参数!E6="原表",驱动复算!W7,F179*情景参数!C6)</f>
        <v>498.2755</v>
      </c>
      <c r="I179" s="4" t="n">
        <f aca="false">IF(情景参数!E6="原表",驱动复算!U7,G179+H179)</f>
        <v>8073.9255</v>
      </c>
      <c r="J179" s="4" t="n">
        <f aca="false">(F179-I179)*(1-情景参数!F6)</f>
        <v>1891.5845</v>
      </c>
      <c r="K179" s="4" t="n">
        <f aca="false">偿债原表!F8</f>
        <v>0</v>
      </c>
      <c r="L179" s="4" t="n">
        <f aca="false">偿债原表!G8</f>
        <v>1075.8</v>
      </c>
      <c r="M179" s="4" t="n">
        <f aca="false">K179+L179</f>
        <v>1075.8</v>
      </c>
      <c r="N179" s="4" t="n">
        <f aca="false">J179-M179</f>
        <v>815.784499999998</v>
      </c>
      <c r="O179" s="4" t="n">
        <f aca="false">O178+N179</f>
        <v>-6228.2605</v>
      </c>
      <c r="P179" s="4" t="n">
        <f aca="false">MAX(0,-(R178+N179))</f>
        <v>0</v>
      </c>
      <c r="Q179" s="4" t="n">
        <f aca="false">Q178+P179</f>
        <v>7044.045</v>
      </c>
      <c r="R179" s="4" t="n">
        <f aca="false">O179+Q179</f>
        <v>815.784499999998</v>
      </c>
    </row>
    <row r="180" customFormat="false" ht="15" hidden="false" customHeight="false" outlineLevel="0" collapsed="false">
      <c r="A180" s="2" t="s">
        <v>44</v>
      </c>
      <c r="B180" s="2" t="s">
        <v>40</v>
      </c>
      <c r="C180" s="12" t="n">
        <v>7</v>
      </c>
      <c r="D180" s="12" t="n">
        <v>2030</v>
      </c>
      <c r="E180" s="4" t="n">
        <f aca="false">INDEX(驱动复算!A8:X8,1,情景参数!B6)</f>
        <v>10884.01</v>
      </c>
      <c r="F180" s="4" t="n">
        <f aca="false">E180*(1-情景参数!D6)</f>
        <v>10884.01</v>
      </c>
      <c r="G180" s="4" t="n">
        <f aca="false">IF(情景参数!E6="原表",驱动复算!U8-驱动复算!W8,驱动复算!P8)</f>
        <v>7802.9195</v>
      </c>
      <c r="H180" s="4" t="n">
        <f aca="false">IF(情景参数!E6="原表",驱动复算!W8,F180*情景参数!C6)</f>
        <v>544.2005</v>
      </c>
      <c r="I180" s="4" t="n">
        <f aca="false">IF(情景参数!E6="原表",驱动复算!U8,G180+H180)</f>
        <v>8347.12</v>
      </c>
      <c r="J180" s="4" t="n">
        <f aca="false">(F180-I180)*(1-情景参数!F6)</f>
        <v>2536.89</v>
      </c>
      <c r="K180" s="4" t="n">
        <f aca="false">偿债原表!F9</f>
        <v>0</v>
      </c>
      <c r="L180" s="4" t="n">
        <f aca="false">偿债原表!G9</f>
        <v>1075.8</v>
      </c>
      <c r="M180" s="4" t="n">
        <f aca="false">K180+L180</f>
        <v>1075.8</v>
      </c>
      <c r="N180" s="4" t="n">
        <f aca="false">J180-M180</f>
        <v>1461.09</v>
      </c>
      <c r="O180" s="4" t="n">
        <f aca="false">O179+N180</f>
        <v>-4767.1705</v>
      </c>
      <c r="P180" s="4" t="n">
        <f aca="false">MAX(0,-(R179+N180))</f>
        <v>0</v>
      </c>
      <c r="Q180" s="4" t="n">
        <f aca="false">Q179+P180</f>
        <v>7044.045</v>
      </c>
      <c r="R180" s="4" t="n">
        <f aca="false">O180+Q180</f>
        <v>2276.8745</v>
      </c>
    </row>
    <row r="181" customFormat="false" ht="15" hidden="false" customHeight="false" outlineLevel="0" collapsed="false">
      <c r="A181" s="2" t="s">
        <v>44</v>
      </c>
      <c r="B181" s="2" t="s">
        <v>40</v>
      </c>
      <c r="C181" s="12" t="n">
        <v>8</v>
      </c>
      <c r="D181" s="12" t="n">
        <v>2031</v>
      </c>
      <c r="E181" s="4" t="n">
        <f aca="false">INDEX(驱动复算!A9:X9,1,情景参数!B6)</f>
        <v>11894.36</v>
      </c>
      <c r="F181" s="4" t="n">
        <f aca="false">E181*(1-情景参数!D6)</f>
        <v>11894.36</v>
      </c>
      <c r="G181" s="4" t="n">
        <f aca="false">IF(情景参数!E6="原表",驱动复算!U9-驱动复算!W9,驱动复算!P9)</f>
        <v>8037.007085</v>
      </c>
      <c r="H181" s="4" t="n">
        <f aca="false">IF(情景参数!E6="原表",驱动复算!W9,F181*情景参数!C6)</f>
        <v>594.718</v>
      </c>
      <c r="I181" s="4" t="n">
        <f aca="false">IF(情景参数!E6="原表",驱动复算!U9,G181+H181)</f>
        <v>8631.725085</v>
      </c>
      <c r="J181" s="4" t="n">
        <f aca="false">(F181-I181)*(1-情景参数!F6)</f>
        <v>3262.634915</v>
      </c>
      <c r="K181" s="4" t="n">
        <f aca="false">偿债原表!F10</f>
        <v>0</v>
      </c>
      <c r="L181" s="4" t="n">
        <f aca="false">偿债原表!G10</f>
        <v>1075.8</v>
      </c>
      <c r="M181" s="4" t="n">
        <f aca="false">K181+L181</f>
        <v>1075.8</v>
      </c>
      <c r="N181" s="4" t="n">
        <f aca="false">J181-M181</f>
        <v>2186.834915</v>
      </c>
      <c r="O181" s="4" t="n">
        <f aca="false">O180+N181</f>
        <v>-2580.335585</v>
      </c>
      <c r="P181" s="4" t="n">
        <f aca="false">MAX(0,-(R180+N181))</f>
        <v>0</v>
      </c>
      <c r="Q181" s="4" t="n">
        <f aca="false">Q180+P181</f>
        <v>7044.045</v>
      </c>
      <c r="R181" s="4" t="n">
        <f aca="false">O181+Q181</f>
        <v>4463.709415</v>
      </c>
    </row>
    <row r="182" customFormat="false" ht="15" hidden="false" customHeight="false" outlineLevel="0" collapsed="false">
      <c r="A182" s="2" t="s">
        <v>44</v>
      </c>
      <c r="B182" s="2" t="s">
        <v>40</v>
      </c>
      <c r="C182" s="12" t="n">
        <v>9</v>
      </c>
      <c r="D182" s="12" t="n">
        <v>2032</v>
      </c>
      <c r="E182" s="4" t="n">
        <f aca="false">INDEX(驱动复算!A10:X10,1,情景参数!B6)</f>
        <v>13005.745</v>
      </c>
      <c r="F182" s="4" t="n">
        <f aca="false">E182*(1-情景参数!D6)</f>
        <v>13005.745</v>
      </c>
      <c r="G182" s="4" t="n">
        <f aca="false">IF(情景参数!E6="原表",驱动复算!U10-驱动复算!W10,驱动复算!P10)</f>
        <v>8278.11729755</v>
      </c>
      <c r="H182" s="4" t="n">
        <f aca="false">IF(情景参数!E6="原表",驱动复算!W10,F182*情景参数!C6)</f>
        <v>650.28725</v>
      </c>
      <c r="I182" s="4" t="n">
        <f aca="false">IF(情景参数!E6="原表",驱动复算!U10,G182+H182)</f>
        <v>8928.40454755</v>
      </c>
      <c r="J182" s="4" t="n">
        <f aca="false">(F182-I182)*(1-情景参数!F6)</f>
        <v>4077.34045245</v>
      </c>
      <c r="K182" s="4" t="n">
        <f aca="false">偿债原表!F11</f>
        <v>2000</v>
      </c>
      <c r="L182" s="4" t="n">
        <f aca="false">偿债原表!G11</f>
        <v>1075.8</v>
      </c>
      <c r="M182" s="4" t="n">
        <f aca="false">K182+L182</f>
        <v>3075.8</v>
      </c>
      <c r="N182" s="4" t="n">
        <f aca="false">J182-M182</f>
        <v>1001.54045245</v>
      </c>
      <c r="O182" s="4" t="n">
        <f aca="false">O181+N182</f>
        <v>-1578.79513255</v>
      </c>
      <c r="P182" s="4" t="n">
        <f aca="false">MAX(0,-(R181+N182))</f>
        <v>0</v>
      </c>
      <c r="Q182" s="4" t="n">
        <f aca="false">Q181+P182</f>
        <v>7044.045</v>
      </c>
      <c r="R182" s="4" t="n">
        <f aca="false">O182+Q182</f>
        <v>5465.24986745001</v>
      </c>
    </row>
    <row r="183" customFormat="false" ht="15" hidden="false" customHeight="false" outlineLevel="0" collapsed="false">
      <c r="A183" s="2" t="s">
        <v>44</v>
      </c>
      <c r="B183" s="2" t="s">
        <v>40</v>
      </c>
      <c r="C183" s="12" t="n">
        <v>10</v>
      </c>
      <c r="D183" s="12" t="n">
        <v>2033</v>
      </c>
      <c r="E183" s="4" t="n">
        <f aca="false">INDEX(驱动复算!A11:X11,1,情景参数!B6)</f>
        <v>13713.89675</v>
      </c>
      <c r="F183" s="4" t="n">
        <f aca="false">E183*(1-情景参数!D6)</f>
        <v>13713.89675</v>
      </c>
      <c r="G183" s="4" t="n">
        <f aca="false">IF(情景参数!E6="原表",驱动复算!U11-驱动复算!W11,驱动复算!P11)</f>
        <v>8526.4608164765</v>
      </c>
      <c r="H183" s="4" t="n">
        <f aca="false">IF(情景参数!E6="原表",驱动复算!W11,F183*情景参数!C6)</f>
        <v>685.6948375</v>
      </c>
      <c r="I183" s="4" t="n">
        <f aca="false">IF(情景参数!E6="原表",驱动复算!U11,G183+H183)</f>
        <v>9212.1556539765</v>
      </c>
      <c r="J183" s="4" t="n">
        <f aca="false">(F183-I183)*(1-情景参数!F6)</f>
        <v>4501.7410960235</v>
      </c>
      <c r="K183" s="4" t="n">
        <f aca="false">偿债原表!F12</f>
        <v>9600</v>
      </c>
      <c r="L183" s="4" t="n">
        <f aca="false">偿债原表!G12</f>
        <v>1018.8</v>
      </c>
      <c r="M183" s="4" t="n">
        <f aca="false">K183+L183</f>
        <v>10618.8</v>
      </c>
      <c r="N183" s="4" t="n">
        <f aca="false">J183-M183</f>
        <v>-6117.0589039765</v>
      </c>
      <c r="O183" s="4" t="n">
        <f aca="false">O182+N183</f>
        <v>-7695.85403652649</v>
      </c>
      <c r="P183" s="4" t="n">
        <f aca="false">MAX(0,-(R182+N183))</f>
        <v>651.809036526492</v>
      </c>
      <c r="Q183" s="4" t="n">
        <f aca="false">Q182+P183</f>
        <v>7695.85403652649</v>
      </c>
      <c r="R183" s="4" t="n">
        <f aca="false">O183+Q183</f>
        <v>0</v>
      </c>
    </row>
    <row r="184" customFormat="false" ht="15" hidden="false" customHeight="false" outlineLevel="0" collapsed="false">
      <c r="A184" s="2" t="s">
        <v>44</v>
      </c>
      <c r="B184" s="2" t="s">
        <v>40</v>
      </c>
      <c r="C184" s="12" t="n">
        <v>11</v>
      </c>
      <c r="D184" s="12" t="n">
        <v>2034</v>
      </c>
      <c r="E184" s="4" t="n">
        <f aca="false">INDEX(驱动复算!A12:X12,1,情景参数!B6)</f>
        <v>14355.7215875</v>
      </c>
      <c r="F184" s="4" t="n">
        <f aca="false">E184*(1-情景参数!D6)</f>
        <v>14355.7215875</v>
      </c>
      <c r="G184" s="4" t="n">
        <f aca="false">IF(情景参数!E6="原表",驱动复算!U12-驱动复算!W12,驱动复算!P12)</f>
        <v>8782.2546409708</v>
      </c>
      <c r="H184" s="4" t="n">
        <f aca="false">IF(情景参数!E6="原表",驱动复算!W12,F184*情景参数!C6)</f>
        <v>717.786079375</v>
      </c>
      <c r="I184" s="4" t="n">
        <f aca="false">IF(情景参数!E6="原表",驱动复算!U12,G184+H184)</f>
        <v>9500.0407203458</v>
      </c>
      <c r="J184" s="4" t="n">
        <f aca="false">(F184-I184)*(1-情景参数!F6)</f>
        <v>4855.68086715421</v>
      </c>
      <c r="K184" s="4" t="n">
        <f aca="false">偿债原表!F13</f>
        <v>0</v>
      </c>
      <c r="L184" s="4" t="n">
        <f aca="false">偿债原表!G13</f>
        <v>673.2</v>
      </c>
      <c r="M184" s="4" t="n">
        <f aca="false">K184+L184</f>
        <v>673.2</v>
      </c>
      <c r="N184" s="4" t="n">
        <f aca="false">J184-M184</f>
        <v>4182.48086715421</v>
      </c>
      <c r="O184" s="4" t="n">
        <f aca="false">O183+N184</f>
        <v>-3513.37316937228</v>
      </c>
      <c r="P184" s="4" t="n">
        <f aca="false">MAX(0,-(R183+N184))</f>
        <v>0</v>
      </c>
      <c r="Q184" s="4" t="n">
        <f aca="false">Q183+P184</f>
        <v>7695.85403652649</v>
      </c>
      <c r="R184" s="4" t="n">
        <f aca="false">O184+Q184</f>
        <v>4182.48086715421</v>
      </c>
    </row>
    <row r="185" customFormat="false" ht="15" hidden="false" customHeight="false" outlineLevel="0" collapsed="false">
      <c r="A185" s="2" t="s">
        <v>44</v>
      </c>
      <c r="B185" s="2" t="s">
        <v>40</v>
      </c>
      <c r="C185" s="12" t="n">
        <v>12</v>
      </c>
      <c r="D185" s="12" t="n">
        <v>2035</v>
      </c>
      <c r="E185" s="4" t="n">
        <f aca="false">INDEX(驱动复算!A13:X13,1,情景参数!B6)</f>
        <v>15029.637666875</v>
      </c>
      <c r="F185" s="4" t="n">
        <f aca="false">E185*(1-情景参数!D6)</f>
        <v>15029.637666875</v>
      </c>
      <c r="G185" s="4" t="n">
        <f aca="false">IF(情景参数!E6="原表",驱动复算!U13-驱动复算!W13,驱动复算!P13)</f>
        <v>9045.72228019992</v>
      </c>
      <c r="H185" s="4" t="n">
        <f aca="false">IF(情景参数!E6="原表",驱动复算!W13,F185*情景参数!C6)</f>
        <v>751.48188334375</v>
      </c>
      <c r="I185" s="4" t="n">
        <f aca="false">IF(情景参数!E6="原表",驱动复算!U13,G185+H185)</f>
        <v>9797.20416354367</v>
      </c>
      <c r="J185" s="4" t="n">
        <f aca="false">(F185-I185)*(1-情景参数!F6)</f>
        <v>5232.43350333134</v>
      </c>
      <c r="K185" s="4" t="n">
        <f aca="false">偿债原表!F14</f>
        <v>0</v>
      </c>
      <c r="L185" s="4" t="n">
        <f aca="false">偿债原表!G14</f>
        <v>673.2</v>
      </c>
      <c r="M185" s="4" t="n">
        <f aca="false">K185+L185</f>
        <v>673.2</v>
      </c>
      <c r="N185" s="4" t="n">
        <f aca="false">J185-M185</f>
        <v>4559.23350333134</v>
      </c>
      <c r="O185" s="4" t="n">
        <f aca="false">O184+N185</f>
        <v>1045.86033395906</v>
      </c>
      <c r="P185" s="4" t="n">
        <f aca="false">MAX(0,-(R184+N185))</f>
        <v>0</v>
      </c>
      <c r="Q185" s="4" t="n">
        <f aca="false">Q184+P185</f>
        <v>7695.85403652649</v>
      </c>
      <c r="R185" s="4" t="n">
        <f aca="false">O185+Q185</f>
        <v>8741.71437048555</v>
      </c>
    </row>
    <row r="186" customFormat="false" ht="15" hidden="false" customHeight="false" outlineLevel="0" collapsed="false">
      <c r="A186" s="2" t="s">
        <v>44</v>
      </c>
      <c r="B186" s="2" t="s">
        <v>40</v>
      </c>
      <c r="C186" s="12" t="n">
        <v>13</v>
      </c>
      <c r="D186" s="12" t="n">
        <v>2036</v>
      </c>
      <c r="E186" s="4" t="n">
        <f aca="false">INDEX(驱动复算!A14:X14,1,情景参数!B6)</f>
        <v>15737.2495502188</v>
      </c>
      <c r="F186" s="4" t="n">
        <f aca="false">E186*(1-情景参数!D6)</f>
        <v>15737.2495502188</v>
      </c>
      <c r="G186" s="4" t="n">
        <f aca="false">IF(情景参数!E6="原表",驱动复算!U14-驱动复算!W14,驱动复算!P14)</f>
        <v>9317.09394860592</v>
      </c>
      <c r="H186" s="4" t="n">
        <f aca="false">IF(情景参数!E6="原表",驱动复算!W14,F186*情景参数!C6)</f>
        <v>786.862477510938</v>
      </c>
      <c r="I186" s="4" t="n">
        <f aca="false">IF(情景参数!E6="原表",驱动复算!U14,G186+H186)</f>
        <v>10103.9564261169</v>
      </c>
      <c r="J186" s="4" t="n">
        <f aca="false">(F186-I186)*(1-情景参数!F6)</f>
        <v>5633.2931241019</v>
      </c>
      <c r="K186" s="4" t="n">
        <f aca="false">偿债原表!F15</f>
        <v>0</v>
      </c>
      <c r="L186" s="4" t="n">
        <f aca="false">偿债原表!G15</f>
        <v>673.2</v>
      </c>
      <c r="M186" s="4" t="n">
        <f aca="false">K186+L186</f>
        <v>673.2</v>
      </c>
      <c r="N186" s="4" t="n">
        <f aca="false">J186-M186</f>
        <v>4960.0931241019</v>
      </c>
      <c r="O186" s="4" t="n">
        <f aca="false">O185+N186</f>
        <v>6005.95345806096</v>
      </c>
      <c r="P186" s="4" t="n">
        <f aca="false">MAX(0,-(R185+N186))</f>
        <v>0</v>
      </c>
      <c r="Q186" s="4" t="n">
        <f aca="false">Q185+P186</f>
        <v>7695.85403652649</v>
      </c>
      <c r="R186" s="4" t="n">
        <f aca="false">O186+Q186</f>
        <v>13701.8074945875</v>
      </c>
    </row>
    <row r="187" customFormat="false" ht="15" hidden="false" customHeight="false" outlineLevel="0" collapsed="false">
      <c r="A187" s="2" t="s">
        <v>44</v>
      </c>
      <c r="B187" s="2" t="s">
        <v>40</v>
      </c>
      <c r="C187" s="12" t="n">
        <v>14</v>
      </c>
      <c r="D187" s="12" t="n">
        <v>2037</v>
      </c>
      <c r="E187" s="4" t="n">
        <f aca="false">INDEX(驱动复算!A15:X15,1,情景参数!B6)</f>
        <v>16480.2420277297</v>
      </c>
      <c r="F187" s="4" t="n">
        <f aca="false">E187*(1-情景参数!D6)</f>
        <v>16480.2420277297</v>
      </c>
      <c r="G187" s="4" t="n">
        <f aca="false">IF(情景参数!E6="原表",驱动复算!U15-驱动复算!W15,驱动复算!P15)</f>
        <v>9596.6067670641</v>
      </c>
      <c r="H187" s="4" t="n">
        <f aca="false">IF(情景参数!E6="原表",驱动复算!W15,F187*情景参数!C6)</f>
        <v>824.012101386485</v>
      </c>
      <c r="I187" s="4" t="n">
        <f aca="false">IF(情景参数!E6="原表",驱动复算!U15,G187+H187)</f>
        <v>10420.6188684506</v>
      </c>
      <c r="J187" s="4" t="n">
        <f aca="false">(F187-I187)*(1-情景参数!F6)</f>
        <v>6059.62315927912</v>
      </c>
      <c r="K187" s="4" t="n">
        <f aca="false">偿债原表!F16</f>
        <v>1000</v>
      </c>
      <c r="L187" s="4" t="n">
        <f aca="false">偿债原表!G16</f>
        <v>673.2</v>
      </c>
      <c r="M187" s="4" t="n">
        <f aca="false">K187+L187</f>
        <v>1673.2</v>
      </c>
      <c r="N187" s="4" t="n">
        <f aca="false">J187-M187</f>
        <v>4386.42315927912</v>
      </c>
      <c r="O187" s="4" t="n">
        <f aca="false">O186+N187</f>
        <v>10392.3766173401</v>
      </c>
      <c r="P187" s="4" t="n">
        <f aca="false">MAX(0,-(R186+N187))</f>
        <v>0</v>
      </c>
      <c r="Q187" s="4" t="n">
        <f aca="false">Q186+P187</f>
        <v>7695.85403652649</v>
      </c>
      <c r="R187" s="4" t="n">
        <f aca="false">O187+Q187</f>
        <v>18088.2306538666</v>
      </c>
    </row>
    <row r="188" customFormat="false" ht="15" hidden="false" customHeight="false" outlineLevel="0" collapsed="false">
      <c r="A188" s="2" t="s">
        <v>44</v>
      </c>
      <c r="B188" s="2" t="s">
        <v>40</v>
      </c>
      <c r="C188" s="12" t="n">
        <v>15</v>
      </c>
      <c r="D188" s="12" t="n">
        <v>2038</v>
      </c>
      <c r="E188" s="4" t="n">
        <f aca="false">INDEX(驱动复算!A16:X16,1,情景参数!B6)</f>
        <v>16821.7888682843</v>
      </c>
      <c r="F188" s="4" t="n">
        <f aca="false">E188*(1-情景参数!D6)</f>
        <v>16821.7888682843</v>
      </c>
      <c r="G188" s="4" t="n">
        <f aca="false">IF(情景参数!E6="原表",驱动复算!U16-驱动复算!W16,驱动复算!P16)</f>
        <v>9884.50497007602</v>
      </c>
      <c r="H188" s="4" t="n">
        <f aca="false">IF(情景参数!E6="原表",驱动复算!W16,F188*情景参数!C6)</f>
        <v>841.089443414215</v>
      </c>
      <c r="I188" s="4" t="n">
        <f aca="false">IF(情景参数!E6="原表",驱动复算!U16,G188+H188)</f>
        <v>10725.5944134902</v>
      </c>
      <c r="J188" s="4" t="n">
        <f aca="false">(F188-I188)*(1-情景参数!F6)</f>
        <v>6096.19445479406</v>
      </c>
      <c r="K188" s="4" t="n">
        <f aca="false">偿债原表!F17</f>
        <v>0</v>
      </c>
      <c r="L188" s="4" t="n">
        <f aca="false">偿债原表!G17</f>
        <v>644</v>
      </c>
      <c r="M188" s="4" t="n">
        <f aca="false">K188+L188</f>
        <v>644</v>
      </c>
      <c r="N188" s="4" t="n">
        <f aca="false">J188-M188</f>
        <v>5452.19445479406</v>
      </c>
      <c r="O188" s="4" t="n">
        <f aca="false">O187+N188</f>
        <v>15844.5710721341</v>
      </c>
      <c r="P188" s="4" t="n">
        <f aca="false">MAX(0,-(R187+N188))</f>
        <v>0</v>
      </c>
      <c r="Q188" s="4" t="n">
        <f aca="false">Q187+P188</f>
        <v>7695.85403652649</v>
      </c>
      <c r="R188" s="4" t="n">
        <f aca="false">O188+Q188</f>
        <v>23540.4251086606</v>
      </c>
    </row>
    <row r="189" customFormat="false" ht="15" hidden="false" customHeight="false" outlineLevel="0" collapsed="false">
      <c r="A189" s="2" t="s">
        <v>44</v>
      </c>
      <c r="B189" s="2" t="s">
        <v>40</v>
      </c>
      <c r="C189" s="12" t="n">
        <v>16</v>
      </c>
      <c r="D189" s="12" t="n">
        <v>2039</v>
      </c>
      <c r="E189" s="4" t="n">
        <f aca="false">INDEX(驱动复算!A17:X17,1,情景参数!B6)</f>
        <v>17140.08684565</v>
      </c>
      <c r="F189" s="4" t="n">
        <f aca="false">E189*(1-情景参数!D6)</f>
        <v>17140.08684565</v>
      </c>
      <c r="G189" s="4" t="n">
        <f aca="false">IF(情景参数!E6="原表",驱动复算!U17-驱动复算!W17,驱动复算!P17)</f>
        <v>10181.0401191783</v>
      </c>
      <c r="H189" s="4" t="n">
        <f aca="false">IF(情景参数!E6="原表",驱动复算!W17,F189*情景参数!C6)</f>
        <v>857.004342282499</v>
      </c>
      <c r="I189" s="4" t="n">
        <f aca="false">IF(情景参数!E6="原表",驱动复算!U17,G189+H189)</f>
        <v>11038.0444614608</v>
      </c>
      <c r="J189" s="4" t="n">
        <f aca="false">(F189-I189)*(1-情景参数!F6)</f>
        <v>6102.04238418918</v>
      </c>
      <c r="K189" s="4" t="n">
        <f aca="false">偿债原表!F18</f>
        <v>0</v>
      </c>
      <c r="L189" s="4" t="n">
        <f aca="false">偿债原表!G18</f>
        <v>644</v>
      </c>
      <c r="M189" s="4" t="n">
        <f aca="false">K189+L189</f>
        <v>644</v>
      </c>
      <c r="N189" s="4" t="n">
        <f aca="false">J189-M189</f>
        <v>5458.04238418918</v>
      </c>
      <c r="O189" s="4" t="n">
        <f aca="false">O188+N189</f>
        <v>21302.6134563233</v>
      </c>
      <c r="P189" s="4" t="n">
        <f aca="false">MAX(0,-(R188+N189))</f>
        <v>0</v>
      </c>
      <c r="Q189" s="4" t="n">
        <f aca="false">Q188+P189</f>
        <v>7695.85403652649</v>
      </c>
      <c r="R189" s="4" t="n">
        <f aca="false">O189+Q189</f>
        <v>28998.4674928498</v>
      </c>
    </row>
    <row r="190" customFormat="false" ht="15" hidden="false" customHeight="false" outlineLevel="0" collapsed="false">
      <c r="A190" s="2" t="s">
        <v>44</v>
      </c>
      <c r="B190" s="2" t="s">
        <v>40</v>
      </c>
      <c r="C190" s="12" t="n">
        <v>17</v>
      </c>
      <c r="D190" s="12" t="n">
        <v>2040</v>
      </c>
      <c r="E190" s="4" t="n">
        <f aca="false">INDEX(驱动复算!A18:X18,1,情景参数!B6)</f>
        <v>17464.750782563</v>
      </c>
      <c r="F190" s="4" t="n">
        <f aca="false">E190*(1-情景参数!D6)</f>
        <v>17464.750782563</v>
      </c>
      <c r="G190" s="4" t="n">
        <f aca="false">IF(情景参数!E6="原表",驱动复算!U18-驱动复算!W18,驱动复算!P18)</f>
        <v>10486.4713227536</v>
      </c>
      <c r="H190" s="4" t="n">
        <f aca="false">IF(情景参数!E6="原表",驱动复算!W18,F190*情景参数!C6)</f>
        <v>873.237539128149</v>
      </c>
      <c r="I190" s="4" t="n">
        <f aca="false">IF(情景参数!E6="原表",驱动复算!U18,G190+H190)</f>
        <v>11359.7088618818</v>
      </c>
      <c r="J190" s="4" t="n">
        <f aca="false">(F190-I190)*(1-情景参数!F6)</f>
        <v>6105.04192068118</v>
      </c>
      <c r="K190" s="4" t="n">
        <f aca="false">偿债原表!F19</f>
        <v>0</v>
      </c>
      <c r="L190" s="4" t="n">
        <f aca="false">偿债原表!G19</f>
        <v>644</v>
      </c>
      <c r="M190" s="4" t="n">
        <f aca="false">K190+L190</f>
        <v>644</v>
      </c>
      <c r="N190" s="4" t="n">
        <f aca="false">J190-M190</f>
        <v>5461.04192068118</v>
      </c>
      <c r="O190" s="4" t="n">
        <f aca="false">O189+N190</f>
        <v>26763.6553770045</v>
      </c>
      <c r="P190" s="4" t="n">
        <f aca="false">MAX(0,-(R189+N190))</f>
        <v>0</v>
      </c>
      <c r="Q190" s="4" t="n">
        <f aca="false">Q189+P190</f>
        <v>7695.85403652649</v>
      </c>
      <c r="R190" s="4" t="n">
        <f aca="false">O190+Q190</f>
        <v>34459.509413531</v>
      </c>
    </row>
    <row r="191" customFormat="false" ht="15" hidden="false" customHeight="false" outlineLevel="0" collapsed="false">
      <c r="A191" s="2" t="s">
        <v>44</v>
      </c>
      <c r="B191" s="2" t="s">
        <v>40</v>
      </c>
      <c r="C191" s="12" t="n">
        <v>18</v>
      </c>
      <c r="D191" s="12" t="n">
        <v>2041</v>
      </c>
      <c r="E191" s="4" t="n">
        <f aca="false">INDEX(驱动复算!A19:X19,1,情景参数!B6)</f>
        <v>17795.9079982142</v>
      </c>
      <c r="F191" s="4" t="n">
        <f aca="false">E191*(1-情景参数!D6)</f>
        <v>17795.9079982142</v>
      </c>
      <c r="G191" s="4" t="n">
        <f aca="false">IF(情景参数!E6="原表",驱动复算!U19-驱动复算!W19,驱动复算!P19)</f>
        <v>10801.0654624363</v>
      </c>
      <c r="H191" s="4" t="n">
        <f aca="false">IF(情景参数!E6="原表",驱动复算!W19,F191*情景参数!C6)</f>
        <v>889.795399910712</v>
      </c>
      <c r="I191" s="4" t="n">
        <f aca="false">IF(情景参数!E6="原表",驱动复算!U19,G191+H191)</f>
        <v>11690.860862347</v>
      </c>
      <c r="J191" s="4" t="n">
        <f aca="false">(F191-I191)*(1-情景参数!F6)</f>
        <v>6105.04713586726</v>
      </c>
      <c r="K191" s="4" t="n">
        <f aca="false">偿债原表!F20</f>
        <v>20000</v>
      </c>
      <c r="L191" s="4" t="n">
        <f aca="false">偿债原表!G20</f>
        <v>644</v>
      </c>
      <c r="M191" s="4" t="n">
        <f aca="false">K191+L191</f>
        <v>20644</v>
      </c>
      <c r="N191" s="4" t="n">
        <f aca="false">J191-M191</f>
        <v>-14538.9528641327</v>
      </c>
      <c r="O191" s="4" t="n">
        <f aca="false">O190+N191</f>
        <v>12224.7025128718</v>
      </c>
      <c r="P191" s="4" t="n">
        <f aca="false">MAX(0,-(R190+N191))</f>
        <v>0</v>
      </c>
      <c r="Q191" s="4" t="n">
        <f aca="false">Q190+P191</f>
        <v>7695.85403652649</v>
      </c>
      <c r="R191" s="4" t="n">
        <f aca="false">O191+Q191</f>
        <v>19920.5565493983</v>
      </c>
    </row>
    <row r="192" customFormat="false" ht="15" hidden="false" customHeight="false" outlineLevel="0" collapsed="false">
      <c r="A192" s="2" t="s">
        <v>45</v>
      </c>
      <c r="B192" s="2" t="s">
        <v>39</v>
      </c>
      <c r="C192" s="12" t="n">
        <v>0</v>
      </c>
      <c r="D192" s="13" t="s">
        <v>248</v>
      </c>
      <c r="E192" s="4" t="n">
        <f aca="false">0</f>
        <v>0</v>
      </c>
      <c r="F192" s="4" t="n">
        <f aca="false">E192*(1-情景参数!D7)</f>
        <v>0</v>
      </c>
      <c r="G192" s="4" t="n">
        <f aca="false">0</f>
        <v>0</v>
      </c>
      <c r="H192" s="4" t="n">
        <f aca="false">0</f>
        <v>0</v>
      </c>
      <c r="I192" s="4" t="n">
        <f aca="false">0</f>
        <v>0</v>
      </c>
      <c r="J192" s="4" t="n">
        <f aca="false">(F192-I192)*(1-情景参数!F7)</f>
        <v>0</v>
      </c>
      <c r="K192" s="4" t="n">
        <f aca="false">偿债原表!C2</f>
        <v>0</v>
      </c>
      <c r="L192" s="4" t="n">
        <f aca="false">偿债原表!D2</f>
        <v>1374.2</v>
      </c>
      <c r="M192" s="4" t="n">
        <f aca="false">K192+L192</f>
        <v>1374.2</v>
      </c>
      <c r="N192" s="4" t="n">
        <f aca="false">J192-M192</f>
        <v>-1374.2</v>
      </c>
      <c r="O192" s="4" t="n">
        <f aca="false">N192</f>
        <v>-1374.2</v>
      </c>
      <c r="P192" s="4" t="n">
        <f aca="false">MAX(0,-N192)</f>
        <v>1374.2</v>
      </c>
      <c r="Q192" s="4" t="n">
        <f aca="false">P192</f>
        <v>1374.2</v>
      </c>
      <c r="R192" s="4" t="n">
        <f aca="false">O192+Q192</f>
        <v>0</v>
      </c>
    </row>
    <row r="193" customFormat="false" ht="15" hidden="false" customHeight="false" outlineLevel="0" collapsed="false">
      <c r="A193" s="2" t="s">
        <v>45</v>
      </c>
      <c r="B193" s="2" t="s">
        <v>39</v>
      </c>
      <c r="C193" s="12" t="n">
        <v>1</v>
      </c>
      <c r="D193" s="12" t="n">
        <v>2024</v>
      </c>
      <c r="E193" s="4" t="n">
        <f aca="false">INDEX(驱动复算!A2:X2,1,情景参数!B7)</f>
        <v>0</v>
      </c>
      <c r="F193" s="4" t="n">
        <f aca="false">E193*(1-情景参数!D7)</f>
        <v>0</v>
      </c>
      <c r="G193" s="4" t="n">
        <f aca="false">IF(情景参数!E7="原表",驱动复算!U2-驱动复算!W2,驱动复算!P2)</f>
        <v>0</v>
      </c>
      <c r="H193" s="4" t="n">
        <f aca="false">IF(情景参数!E7="原表",驱动复算!W2,F193*情景参数!C7)</f>
        <v>0</v>
      </c>
      <c r="I193" s="4" t="n">
        <f aca="false">IF(情景参数!E7="原表",驱动复算!U2,G193+H193)</f>
        <v>0</v>
      </c>
      <c r="J193" s="4" t="n">
        <f aca="false">(F193-I193)*(1-情景参数!F7)</f>
        <v>0</v>
      </c>
      <c r="K193" s="4" t="n">
        <f aca="false">偿债原表!C3</f>
        <v>0</v>
      </c>
      <c r="L193" s="4" t="n">
        <f aca="false">偿债原表!D3</f>
        <v>1093.2</v>
      </c>
      <c r="M193" s="4" t="n">
        <f aca="false">K193+L193</f>
        <v>1093.2</v>
      </c>
      <c r="N193" s="4" t="n">
        <f aca="false">J193-M193</f>
        <v>-1093.2</v>
      </c>
      <c r="O193" s="4" t="n">
        <f aca="false">O192+N193</f>
        <v>-2467.4</v>
      </c>
      <c r="P193" s="4" t="n">
        <f aca="false">MAX(0,-(R192+N193))</f>
        <v>1093.2</v>
      </c>
      <c r="Q193" s="4" t="n">
        <f aca="false">Q192+P193</f>
        <v>2467.4</v>
      </c>
      <c r="R193" s="4" t="n">
        <f aca="false">O193+Q193</f>
        <v>0</v>
      </c>
    </row>
    <row r="194" customFormat="false" ht="15" hidden="false" customHeight="false" outlineLevel="0" collapsed="false">
      <c r="A194" s="2" t="s">
        <v>45</v>
      </c>
      <c r="B194" s="2" t="s">
        <v>39</v>
      </c>
      <c r="C194" s="12" t="n">
        <v>2</v>
      </c>
      <c r="D194" s="12" t="n">
        <v>2025</v>
      </c>
      <c r="E194" s="4" t="n">
        <f aca="false">INDEX(驱动复算!A3:X3,1,情景参数!B7)</f>
        <v>0</v>
      </c>
      <c r="F194" s="4" t="n">
        <f aca="false">E194*(1-情景参数!D7)</f>
        <v>0</v>
      </c>
      <c r="G194" s="4" t="n">
        <f aca="false">IF(情景参数!E7="原表",驱动复算!U3-驱动复算!W3,驱动复算!P3)</f>
        <v>0</v>
      </c>
      <c r="H194" s="4" t="n">
        <f aca="false">IF(情景参数!E7="原表",驱动复算!W3,F194*情景参数!C7)</f>
        <v>0</v>
      </c>
      <c r="I194" s="4" t="n">
        <f aca="false">IF(情景参数!E7="原表",驱动复算!U3,G194+H194)</f>
        <v>0</v>
      </c>
      <c r="J194" s="4" t="n">
        <f aca="false">(F194-I194)*(1-情景参数!F7)</f>
        <v>0</v>
      </c>
      <c r="K194" s="4" t="n">
        <f aca="false">偿债原表!C4</f>
        <v>0</v>
      </c>
      <c r="L194" s="4" t="n">
        <f aca="false">偿债原表!D4</f>
        <v>1093.2</v>
      </c>
      <c r="M194" s="4" t="n">
        <f aca="false">K194+L194</f>
        <v>1093.2</v>
      </c>
      <c r="N194" s="4" t="n">
        <f aca="false">J194-M194</f>
        <v>-1093.2</v>
      </c>
      <c r="O194" s="4" t="n">
        <f aca="false">O193+N194</f>
        <v>-3560.6</v>
      </c>
      <c r="P194" s="4" t="n">
        <f aca="false">MAX(0,-(R193+N194))</f>
        <v>1093.2</v>
      </c>
      <c r="Q194" s="4" t="n">
        <f aca="false">Q193+P194</f>
        <v>3560.6</v>
      </c>
      <c r="R194" s="4" t="n">
        <f aca="false">O194+Q194</f>
        <v>0</v>
      </c>
    </row>
    <row r="195" customFormat="false" ht="15" hidden="false" customHeight="false" outlineLevel="0" collapsed="false">
      <c r="A195" s="2" t="s">
        <v>45</v>
      </c>
      <c r="B195" s="2" t="s">
        <v>39</v>
      </c>
      <c r="C195" s="12" t="n">
        <v>3</v>
      </c>
      <c r="D195" s="12" t="n">
        <v>2026</v>
      </c>
      <c r="E195" s="4" t="n">
        <f aca="false">INDEX(驱动复算!A4:X4,1,情景参数!B7)</f>
        <v>0</v>
      </c>
      <c r="F195" s="4" t="n">
        <f aca="false">E195*(1-情景参数!D7)</f>
        <v>0</v>
      </c>
      <c r="G195" s="4" t="n">
        <f aca="false">IF(情景参数!E7="原表",驱动复算!U4-驱动复算!W4,驱动复算!P4)</f>
        <v>0</v>
      </c>
      <c r="H195" s="4" t="n">
        <f aca="false">IF(情景参数!E7="原表",驱动复算!W4,F195*情景参数!C7)</f>
        <v>0</v>
      </c>
      <c r="I195" s="4" t="n">
        <f aca="false">IF(情景参数!E7="原表",驱动复算!U4,G195+H195)</f>
        <v>0</v>
      </c>
      <c r="J195" s="4" t="n">
        <f aca="false">(F195-I195)*(1-情景参数!F7)</f>
        <v>0</v>
      </c>
      <c r="K195" s="4" t="n">
        <f aca="false">偿债原表!C5</f>
        <v>0</v>
      </c>
      <c r="L195" s="4" t="n">
        <f aca="false">偿债原表!D5</f>
        <v>1093.2</v>
      </c>
      <c r="M195" s="4" t="n">
        <f aca="false">K195+L195</f>
        <v>1093.2</v>
      </c>
      <c r="N195" s="4" t="n">
        <f aca="false">J195-M195</f>
        <v>-1093.2</v>
      </c>
      <c r="O195" s="4" t="n">
        <f aca="false">O194+N195</f>
        <v>-4653.8</v>
      </c>
      <c r="P195" s="4" t="n">
        <f aca="false">MAX(0,-(R194+N195))</f>
        <v>1093.2</v>
      </c>
      <c r="Q195" s="4" t="n">
        <f aca="false">Q194+P195</f>
        <v>4653.8</v>
      </c>
      <c r="R195" s="4" t="n">
        <f aca="false">O195+Q195</f>
        <v>0</v>
      </c>
    </row>
    <row r="196" customFormat="false" ht="15" hidden="false" customHeight="false" outlineLevel="0" collapsed="false">
      <c r="A196" s="2" t="s">
        <v>45</v>
      </c>
      <c r="B196" s="2" t="s">
        <v>39</v>
      </c>
      <c r="C196" s="12" t="n">
        <v>4</v>
      </c>
      <c r="D196" s="12" t="n">
        <v>2027</v>
      </c>
      <c r="E196" s="4" t="n">
        <f aca="false">INDEX(驱动复算!A5:X5,1,情景参数!B7)</f>
        <v>0</v>
      </c>
      <c r="F196" s="4" t="n">
        <f aca="false">E196*(1-情景参数!D7)</f>
        <v>0</v>
      </c>
      <c r="G196" s="4" t="n">
        <f aca="false">IF(情景参数!E7="原表",驱动复算!U5-驱动复算!W5,驱动复算!P5)</f>
        <v>0</v>
      </c>
      <c r="H196" s="4" t="n">
        <f aca="false">IF(情景参数!E7="原表",驱动复算!W5,F196*情景参数!C7)</f>
        <v>0</v>
      </c>
      <c r="I196" s="4" t="n">
        <f aca="false">IF(情景参数!E7="原表",驱动复算!U5,G196+H196)</f>
        <v>0</v>
      </c>
      <c r="J196" s="4" t="n">
        <f aca="false">(F196-I196)*(1-情景参数!F7)</f>
        <v>0</v>
      </c>
      <c r="K196" s="4" t="n">
        <f aca="false">偿债原表!C6</f>
        <v>0</v>
      </c>
      <c r="L196" s="4" t="n">
        <f aca="false">偿债原表!D6</f>
        <v>1093.2</v>
      </c>
      <c r="M196" s="4" t="n">
        <f aca="false">K196+L196</f>
        <v>1093.2</v>
      </c>
      <c r="N196" s="4" t="n">
        <f aca="false">J196-M196</f>
        <v>-1093.2</v>
      </c>
      <c r="O196" s="4" t="n">
        <f aca="false">O195+N196</f>
        <v>-5747</v>
      </c>
      <c r="P196" s="4" t="n">
        <f aca="false">MAX(0,-(R195+N196))</f>
        <v>1093.2</v>
      </c>
      <c r="Q196" s="4" t="n">
        <f aca="false">Q195+P196</f>
        <v>5747</v>
      </c>
      <c r="R196" s="4" t="n">
        <f aca="false">O196+Q196</f>
        <v>0</v>
      </c>
    </row>
    <row r="197" customFormat="false" ht="15" hidden="false" customHeight="false" outlineLevel="0" collapsed="false">
      <c r="A197" s="2" t="s">
        <v>45</v>
      </c>
      <c r="B197" s="2" t="s">
        <v>39</v>
      </c>
      <c r="C197" s="12" t="n">
        <v>5</v>
      </c>
      <c r="D197" s="12" t="n">
        <v>2028</v>
      </c>
      <c r="E197" s="4" t="n">
        <f aca="false">INDEX(驱动复算!A6:X6,1,情景参数!B7)</f>
        <v>9076.9048</v>
      </c>
      <c r="F197" s="4" t="n">
        <f aca="false">E197*(1-情景参数!D7)</f>
        <v>9076.9048</v>
      </c>
      <c r="G197" s="4" t="n">
        <f aca="false">IF(情景参数!E7="原表",驱动复算!U6-驱动复算!W6,驱动复算!P6)</f>
        <v>7355</v>
      </c>
      <c r="H197" s="4" t="n">
        <f aca="false">IF(情景参数!E7="原表",驱动复算!W6,F197*情景参数!C7)</f>
        <v>181.538096</v>
      </c>
      <c r="I197" s="4" t="n">
        <f aca="false">IF(情景参数!E7="原表",驱动复算!U6,G197+H197)</f>
        <v>7536.538096</v>
      </c>
      <c r="J197" s="4" t="n">
        <f aca="false">(F197-I197)*(1-情景参数!F7)</f>
        <v>1540.366704</v>
      </c>
      <c r="K197" s="4" t="n">
        <f aca="false">偿债原表!C7</f>
        <v>11000</v>
      </c>
      <c r="L197" s="4" t="n">
        <f aca="false">偿债原表!D7</f>
        <v>1093.2</v>
      </c>
      <c r="M197" s="4" t="n">
        <f aca="false">K197+L197</f>
        <v>12093.2</v>
      </c>
      <c r="N197" s="4" t="n">
        <f aca="false">J197-M197</f>
        <v>-10552.833296</v>
      </c>
      <c r="O197" s="4" t="n">
        <f aca="false">O196+N197</f>
        <v>-16299.833296</v>
      </c>
      <c r="P197" s="4" t="n">
        <f aca="false">MAX(0,-(R196+N197))</f>
        <v>10552.833296</v>
      </c>
      <c r="Q197" s="4" t="n">
        <f aca="false">Q196+P197</f>
        <v>16299.833296</v>
      </c>
      <c r="R197" s="4" t="n">
        <f aca="false">O197+Q197</f>
        <v>0</v>
      </c>
    </row>
    <row r="198" customFormat="false" ht="15" hidden="false" customHeight="false" outlineLevel="0" collapsed="false">
      <c r="A198" s="2" t="s">
        <v>45</v>
      </c>
      <c r="B198" s="2" t="s">
        <v>39</v>
      </c>
      <c r="C198" s="12" t="n">
        <v>6</v>
      </c>
      <c r="D198" s="12" t="n">
        <v>2029</v>
      </c>
      <c r="E198" s="4" t="n">
        <f aca="false">INDEX(驱动复算!A7:X7,1,情景参数!B7)</f>
        <v>9911.9048</v>
      </c>
      <c r="F198" s="4" t="n">
        <f aca="false">E198*(1-情景参数!D7)</f>
        <v>9911.9048</v>
      </c>
      <c r="G198" s="4" t="n">
        <f aca="false">IF(情景参数!E7="原表",驱动复算!U7-驱动复算!W7,驱动复算!P7)</f>
        <v>7575.65</v>
      </c>
      <c r="H198" s="4" t="n">
        <f aca="false">IF(情景参数!E7="原表",驱动复算!W7,F198*情景参数!C7)</f>
        <v>198.238096</v>
      </c>
      <c r="I198" s="4" t="n">
        <f aca="false">IF(情景参数!E7="原表",驱动复算!U7,G198+H198)</f>
        <v>7773.888096</v>
      </c>
      <c r="J198" s="4" t="n">
        <f aca="false">(F198-I198)*(1-情景参数!F7)</f>
        <v>2138.016704</v>
      </c>
      <c r="K198" s="4" t="n">
        <f aca="false">偿债原表!C8</f>
        <v>0</v>
      </c>
      <c r="L198" s="4" t="n">
        <f aca="false">偿债原表!D8</f>
        <v>730.2</v>
      </c>
      <c r="M198" s="4" t="n">
        <f aca="false">K198+L198</f>
        <v>730.2</v>
      </c>
      <c r="N198" s="4" t="n">
        <f aca="false">J198-M198</f>
        <v>1407.816704</v>
      </c>
      <c r="O198" s="4" t="n">
        <f aca="false">O197+N198</f>
        <v>-14892.016592</v>
      </c>
      <c r="P198" s="4" t="n">
        <f aca="false">MAX(0,-(R197+N198))</f>
        <v>0</v>
      </c>
      <c r="Q198" s="4" t="n">
        <f aca="false">Q197+P198</f>
        <v>16299.833296</v>
      </c>
      <c r="R198" s="4" t="n">
        <f aca="false">O198+Q198</f>
        <v>1407.816704</v>
      </c>
    </row>
    <row r="199" customFormat="false" ht="15" hidden="false" customHeight="false" outlineLevel="0" collapsed="false">
      <c r="A199" s="2" t="s">
        <v>45</v>
      </c>
      <c r="B199" s="2" t="s">
        <v>39</v>
      </c>
      <c r="C199" s="12" t="n">
        <v>7</v>
      </c>
      <c r="D199" s="12" t="n">
        <v>2030</v>
      </c>
      <c r="E199" s="4" t="n">
        <f aca="false">INDEX(驱动复算!A8:X8,1,情景参数!B7)</f>
        <v>10830.4048</v>
      </c>
      <c r="F199" s="4" t="n">
        <f aca="false">E199*(1-情景参数!D7)</f>
        <v>10830.4048</v>
      </c>
      <c r="G199" s="4" t="n">
        <f aca="false">IF(情景参数!E7="原表",驱动复算!U8-驱动复算!W8,驱动复算!P8)</f>
        <v>7802.9195</v>
      </c>
      <c r="H199" s="4" t="n">
        <f aca="false">IF(情景参数!E7="原表",驱动复算!W8,F199*情景参数!C7)</f>
        <v>216.608096</v>
      </c>
      <c r="I199" s="4" t="n">
        <f aca="false">IF(情景参数!E7="原表",驱动复算!U8,G199+H199)</f>
        <v>8019.527596</v>
      </c>
      <c r="J199" s="4" t="n">
        <f aca="false">(F199-I199)*(1-情景参数!F7)</f>
        <v>2810.877204</v>
      </c>
      <c r="K199" s="4" t="n">
        <f aca="false">偿债原表!C9</f>
        <v>0</v>
      </c>
      <c r="L199" s="4" t="n">
        <f aca="false">偿债原表!D9</f>
        <v>730.2</v>
      </c>
      <c r="M199" s="4" t="n">
        <f aca="false">K199+L199</f>
        <v>730.2</v>
      </c>
      <c r="N199" s="4" t="n">
        <f aca="false">J199-M199</f>
        <v>2080.677204</v>
      </c>
      <c r="O199" s="4" t="n">
        <f aca="false">O198+N199</f>
        <v>-12811.339388</v>
      </c>
      <c r="P199" s="4" t="n">
        <f aca="false">MAX(0,-(R198+N199))</f>
        <v>0</v>
      </c>
      <c r="Q199" s="4" t="n">
        <f aca="false">Q198+P199</f>
        <v>16299.833296</v>
      </c>
      <c r="R199" s="4" t="n">
        <f aca="false">O199+Q199</f>
        <v>3488.493908</v>
      </c>
    </row>
    <row r="200" customFormat="false" ht="15" hidden="false" customHeight="false" outlineLevel="0" collapsed="false">
      <c r="A200" s="2" t="s">
        <v>45</v>
      </c>
      <c r="B200" s="2" t="s">
        <v>39</v>
      </c>
      <c r="C200" s="12" t="n">
        <v>8</v>
      </c>
      <c r="D200" s="12" t="n">
        <v>2031</v>
      </c>
      <c r="E200" s="4" t="n">
        <f aca="false">INDEX(驱动复算!A9:X9,1,情景参数!B7)</f>
        <v>11840.7548</v>
      </c>
      <c r="F200" s="4" t="n">
        <f aca="false">E200*(1-情景参数!D7)</f>
        <v>11840.7548</v>
      </c>
      <c r="G200" s="4" t="n">
        <f aca="false">IF(情景参数!E7="原表",驱动复算!U9-驱动复算!W9,驱动复算!P9)</f>
        <v>8037.007085</v>
      </c>
      <c r="H200" s="4" t="n">
        <f aca="false">IF(情景参数!E7="原表",驱动复算!W9,F200*情景参数!C7)</f>
        <v>236.815096</v>
      </c>
      <c r="I200" s="4" t="n">
        <f aca="false">IF(情景参数!E7="原表",驱动复算!U9,G200+H200)</f>
        <v>8273.822181</v>
      </c>
      <c r="J200" s="4" t="n">
        <f aca="false">(F200-I200)*(1-情景参数!F7)</f>
        <v>3566.932619</v>
      </c>
      <c r="K200" s="4" t="n">
        <f aca="false">偿债原表!C10</f>
        <v>0</v>
      </c>
      <c r="L200" s="4" t="n">
        <f aca="false">偿债原表!D10</f>
        <v>730.2</v>
      </c>
      <c r="M200" s="4" t="n">
        <f aca="false">K200+L200</f>
        <v>730.2</v>
      </c>
      <c r="N200" s="4" t="n">
        <f aca="false">J200-M200</f>
        <v>2836.73261900001</v>
      </c>
      <c r="O200" s="4" t="n">
        <f aca="false">O199+N200</f>
        <v>-9974.606769</v>
      </c>
      <c r="P200" s="4" t="n">
        <f aca="false">MAX(0,-(R199+N200))</f>
        <v>0</v>
      </c>
      <c r="Q200" s="4" t="n">
        <f aca="false">Q199+P200</f>
        <v>16299.833296</v>
      </c>
      <c r="R200" s="4" t="n">
        <f aca="false">O200+Q200</f>
        <v>6325.226527</v>
      </c>
    </row>
    <row r="201" customFormat="false" ht="15" hidden="false" customHeight="false" outlineLevel="0" collapsed="false">
      <c r="A201" s="2" t="s">
        <v>45</v>
      </c>
      <c r="B201" s="2" t="s">
        <v>39</v>
      </c>
      <c r="C201" s="12" t="n">
        <v>9</v>
      </c>
      <c r="D201" s="12" t="n">
        <v>2032</v>
      </c>
      <c r="E201" s="4" t="n">
        <f aca="false">INDEX(驱动复算!A10:X10,1,情景参数!B7)</f>
        <v>12952.1398</v>
      </c>
      <c r="F201" s="4" t="n">
        <f aca="false">E201*(1-情景参数!D7)</f>
        <v>12952.1398</v>
      </c>
      <c r="G201" s="4" t="n">
        <f aca="false">IF(情景参数!E7="原表",驱动复算!U10-驱动复算!W10,驱动复算!P10)</f>
        <v>8278.11729755</v>
      </c>
      <c r="H201" s="4" t="n">
        <f aca="false">IF(情景参数!E7="原表",驱动复算!W10,F201*情景参数!C7)</f>
        <v>259.042796</v>
      </c>
      <c r="I201" s="4" t="n">
        <f aca="false">IF(情景参数!E7="原表",驱动复算!U10,G201+H201)</f>
        <v>8537.16009355</v>
      </c>
      <c r="J201" s="4" t="n">
        <f aca="false">(F201-I201)*(1-情景参数!F7)</f>
        <v>4414.97970645</v>
      </c>
      <c r="K201" s="4" t="n">
        <f aca="false">偿债原表!C11</f>
        <v>2000</v>
      </c>
      <c r="L201" s="4" t="n">
        <f aca="false">偿债原表!D11</f>
        <v>730.2</v>
      </c>
      <c r="M201" s="4" t="n">
        <f aca="false">K201+L201</f>
        <v>2730.2</v>
      </c>
      <c r="N201" s="4" t="n">
        <f aca="false">J201-M201</f>
        <v>1684.77970645</v>
      </c>
      <c r="O201" s="4" t="n">
        <f aca="false">O200+N201</f>
        <v>-8289.82706255</v>
      </c>
      <c r="P201" s="4" t="n">
        <f aca="false">MAX(0,-(R200+N201))</f>
        <v>0</v>
      </c>
      <c r="Q201" s="4" t="n">
        <f aca="false">Q200+P201</f>
        <v>16299.833296</v>
      </c>
      <c r="R201" s="4" t="n">
        <f aca="false">O201+Q201</f>
        <v>8010.00623345001</v>
      </c>
    </row>
    <row r="202" customFormat="false" ht="15" hidden="false" customHeight="false" outlineLevel="0" collapsed="false">
      <c r="A202" s="2" t="s">
        <v>45</v>
      </c>
      <c r="B202" s="2" t="s">
        <v>39</v>
      </c>
      <c r="C202" s="12" t="n">
        <v>10</v>
      </c>
      <c r="D202" s="12" t="n">
        <v>2033</v>
      </c>
      <c r="E202" s="4" t="n">
        <f aca="false">INDEX(驱动复算!A11:X11,1,情景参数!B7)</f>
        <v>13687.09275</v>
      </c>
      <c r="F202" s="4" t="n">
        <f aca="false">E202*(1-情景参数!D7)</f>
        <v>13687.09275</v>
      </c>
      <c r="G202" s="4" t="n">
        <f aca="false">IF(情景参数!E7="原表",驱动复算!U11-驱动复算!W11,驱动复算!P11)</f>
        <v>8526.4608164765</v>
      </c>
      <c r="H202" s="4" t="n">
        <f aca="false">IF(情景参数!E7="原表",驱动复算!W11,F202*情景参数!C7)</f>
        <v>273.741855</v>
      </c>
      <c r="I202" s="4" t="n">
        <f aca="false">IF(情景参数!E7="原表",驱动复算!U11,G202+H202)</f>
        <v>8800.2026714765</v>
      </c>
      <c r="J202" s="4" t="n">
        <f aca="false">(F202-I202)*(1-情景参数!F7)</f>
        <v>4886.8900785235</v>
      </c>
      <c r="K202" s="4" t="n">
        <f aca="false">偿债原表!C12</f>
        <v>0</v>
      </c>
      <c r="L202" s="4" t="n">
        <f aca="false">偿债原表!D12</f>
        <v>673.2</v>
      </c>
      <c r="M202" s="4" t="n">
        <f aca="false">K202+L202</f>
        <v>673.2</v>
      </c>
      <c r="N202" s="4" t="n">
        <f aca="false">J202-M202</f>
        <v>4213.6900785235</v>
      </c>
      <c r="O202" s="4" t="n">
        <f aca="false">O201+N202</f>
        <v>-4076.1369840265</v>
      </c>
      <c r="P202" s="4" t="n">
        <f aca="false">MAX(0,-(R201+N202))</f>
        <v>0</v>
      </c>
      <c r="Q202" s="4" t="n">
        <f aca="false">Q201+P202</f>
        <v>16299.833296</v>
      </c>
      <c r="R202" s="4" t="n">
        <f aca="false">O202+Q202</f>
        <v>12223.6963119735</v>
      </c>
    </row>
    <row r="203" customFormat="false" ht="15" hidden="false" customHeight="false" outlineLevel="0" collapsed="false">
      <c r="A203" s="2" t="s">
        <v>45</v>
      </c>
      <c r="B203" s="2" t="s">
        <v>39</v>
      </c>
      <c r="C203" s="12" t="n">
        <v>11</v>
      </c>
      <c r="D203" s="12" t="n">
        <v>2034</v>
      </c>
      <c r="E203" s="4" t="n">
        <f aca="false">INDEX(驱动复算!A12:X12,1,情景参数!B7)</f>
        <v>14328.9175875</v>
      </c>
      <c r="F203" s="4" t="n">
        <f aca="false">E203*(1-情景参数!D7)</f>
        <v>14328.9175875</v>
      </c>
      <c r="G203" s="4" t="n">
        <f aca="false">IF(情景参数!E7="原表",驱动复算!U12-驱动复算!W12,驱动复算!P12)</f>
        <v>8782.2546409708</v>
      </c>
      <c r="H203" s="4" t="n">
        <f aca="false">IF(情景参数!E7="原表",驱动复算!W12,F203*情景参数!C7)</f>
        <v>286.57835175</v>
      </c>
      <c r="I203" s="4" t="n">
        <f aca="false">IF(情景参数!E7="原表",驱动复算!U12,G203+H203)</f>
        <v>9068.8329927208</v>
      </c>
      <c r="J203" s="4" t="n">
        <f aca="false">(F203-I203)*(1-情景参数!F7)</f>
        <v>5260.08459477921</v>
      </c>
      <c r="K203" s="4" t="n">
        <f aca="false">偿债原表!C13</f>
        <v>0</v>
      </c>
      <c r="L203" s="4" t="n">
        <f aca="false">偿债原表!D13</f>
        <v>673.2</v>
      </c>
      <c r="M203" s="4" t="n">
        <f aca="false">K203+L203</f>
        <v>673.2</v>
      </c>
      <c r="N203" s="4" t="n">
        <f aca="false">J203-M203</f>
        <v>4586.88459477921</v>
      </c>
      <c r="O203" s="4" t="n">
        <f aca="false">O202+N203</f>
        <v>510.747610752716</v>
      </c>
      <c r="P203" s="4" t="n">
        <f aca="false">MAX(0,-(R202+N203))</f>
        <v>0</v>
      </c>
      <c r="Q203" s="4" t="n">
        <f aca="false">Q202+P203</f>
        <v>16299.833296</v>
      </c>
      <c r="R203" s="4" t="n">
        <f aca="false">O203+Q203</f>
        <v>16810.5809067527</v>
      </c>
    </row>
    <row r="204" customFormat="false" ht="15" hidden="false" customHeight="false" outlineLevel="0" collapsed="false">
      <c r="A204" s="2" t="s">
        <v>45</v>
      </c>
      <c r="B204" s="2" t="s">
        <v>39</v>
      </c>
      <c r="C204" s="12" t="n">
        <v>12</v>
      </c>
      <c r="D204" s="12" t="n">
        <v>2035</v>
      </c>
      <c r="E204" s="4" t="n">
        <f aca="false">INDEX(驱动复算!A13:X13,1,情景参数!B7)</f>
        <v>15002.833666875</v>
      </c>
      <c r="F204" s="4" t="n">
        <f aca="false">E204*(1-情景参数!D7)</f>
        <v>15002.833666875</v>
      </c>
      <c r="G204" s="4" t="n">
        <f aca="false">IF(情景参数!E7="原表",驱动复算!U13-驱动复算!W13,驱动复算!P13)</f>
        <v>9045.72228019992</v>
      </c>
      <c r="H204" s="4" t="n">
        <f aca="false">IF(情景参数!E7="原表",驱动复算!W13,F204*情景参数!C7)</f>
        <v>300.0566733375</v>
      </c>
      <c r="I204" s="4" t="n">
        <f aca="false">IF(情景参数!E7="原表",驱动复算!U13,G204+H204)</f>
        <v>9345.77895353742</v>
      </c>
      <c r="J204" s="4" t="n">
        <f aca="false">(F204-I204)*(1-情景参数!F7)</f>
        <v>5657.05471333759</v>
      </c>
      <c r="K204" s="4" t="n">
        <f aca="false">偿债原表!C14</f>
        <v>0</v>
      </c>
      <c r="L204" s="4" t="n">
        <f aca="false">偿债原表!D14</f>
        <v>673.2</v>
      </c>
      <c r="M204" s="4" t="n">
        <f aca="false">K204+L204</f>
        <v>673.2</v>
      </c>
      <c r="N204" s="4" t="n">
        <f aca="false">J204-M204</f>
        <v>4983.85471333759</v>
      </c>
      <c r="O204" s="4" t="n">
        <f aca="false">O203+N204</f>
        <v>5494.6023240903</v>
      </c>
      <c r="P204" s="4" t="n">
        <f aca="false">MAX(0,-(R203+N204))</f>
        <v>0</v>
      </c>
      <c r="Q204" s="4" t="n">
        <f aca="false">Q203+P204</f>
        <v>16299.833296</v>
      </c>
      <c r="R204" s="4" t="n">
        <f aca="false">O204+Q204</f>
        <v>21794.4356200903</v>
      </c>
    </row>
    <row r="205" customFormat="false" ht="15" hidden="false" customHeight="false" outlineLevel="0" collapsed="false">
      <c r="A205" s="2" t="s">
        <v>45</v>
      </c>
      <c r="B205" s="2" t="s">
        <v>39</v>
      </c>
      <c r="C205" s="12" t="n">
        <v>13</v>
      </c>
      <c r="D205" s="12" t="n">
        <v>2036</v>
      </c>
      <c r="E205" s="4" t="n">
        <f aca="false">INDEX(驱动复算!A14:X14,1,情景参数!B7)</f>
        <v>15710.4455502188</v>
      </c>
      <c r="F205" s="4" t="n">
        <f aca="false">E205*(1-情景参数!D7)</f>
        <v>15710.4455502188</v>
      </c>
      <c r="G205" s="4" t="n">
        <f aca="false">IF(情景参数!E7="原表",驱动复算!U14-驱动复算!W14,驱动复算!P14)</f>
        <v>9317.09394860592</v>
      </c>
      <c r="H205" s="4" t="n">
        <f aca="false">IF(情景参数!E7="原表",驱动复算!W14,F205*情景参数!C7)</f>
        <v>314.208911004375</v>
      </c>
      <c r="I205" s="4" t="n">
        <f aca="false">IF(情景参数!E7="原表",驱动复算!U14,G205+H205)</f>
        <v>9631.30285961029</v>
      </c>
      <c r="J205" s="4" t="n">
        <f aca="false">(F205-I205)*(1-情景参数!F7)</f>
        <v>6079.14269060847</v>
      </c>
      <c r="K205" s="4" t="n">
        <f aca="false">偿债原表!C15</f>
        <v>0</v>
      </c>
      <c r="L205" s="4" t="n">
        <f aca="false">偿债原表!D15</f>
        <v>673.2</v>
      </c>
      <c r="M205" s="4" t="n">
        <f aca="false">K205+L205</f>
        <v>673.2</v>
      </c>
      <c r="N205" s="4" t="n">
        <f aca="false">J205-M205</f>
        <v>5405.94269060847</v>
      </c>
      <c r="O205" s="4" t="n">
        <f aca="false">O204+N205</f>
        <v>10900.5450146988</v>
      </c>
      <c r="P205" s="4" t="n">
        <f aca="false">MAX(0,-(R204+N205))</f>
        <v>0</v>
      </c>
      <c r="Q205" s="4" t="n">
        <f aca="false">Q204+P205</f>
        <v>16299.833296</v>
      </c>
      <c r="R205" s="4" t="n">
        <f aca="false">O205+Q205</f>
        <v>27200.3783106988</v>
      </c>
    </row>
    <row r="206" customFormat="false" ht="15" hidden="false" customHeight="false" outlineLevel="0" collapsed="false">
      <c r="A206" s="2" t="s">
        <v>45</v>
      </c>
      <c r="B206" s="2" t="s">
        <v>39</v>
      </c>
      <c r="C206" s="12" t="n">
        <v>14</v>
      </c>
      <c r="D206" s="12" t="n">
        <v>2037</v>
      </c>
      <c r="E206" s="4" t="n">
        <f aca="false">INDEX(驱动复算!A15:X15,1,情景参数!B7)</f>
        <v>16453.4380277297</v>
      </c>
      <c r="F206" s="4" t="n">
        <f aca="false">E206*(1-情景参数!D7)</f>
        <v>16453.4380277297</v>
      </c>
      <c r="G206" s="4" t="n">
        <f aca="false">IF(情景参数!E7="原表",驱动复算!U15-驱动复算!W15,驱动复算!P15)</f>
        <v>9596.6067670641</v>
      </c>
      <c r="H206" s="4" t="n">
        <f aca="false">IF(情景参数!E7="原表",驱动复算!W15,F206*情景参数!C7)</f>
        <v>329.068760554594</v>
      </c>
      <c r="I206" s="4" t="n">
        <f aca="false">IF(情景参数!E7="原表",驱动复算!U15,G206+H206)</f>
        <v>9925.67552761869</v>
      </c>
      <c r="J206" s="4" t="n">
        <f aca="false">(F206-I206)*(1-情景参数!F7)</f>
        <v>6527.76250011101</v>
      </c>
      <c r="K206" s="4" t="n">
        <f aca="false">偿债原表!C16</f>
        <v>1000</v>
      </c>
      <c r="L206" s="4" t="n">
        <f aca="false">偿债原表!D16</f>
        <v>673.2</v>
      </c>
      <c r="M206" s="4" t="n">
        <f aca="false">K206+L206</f>
        <v>1673.2</v>
      </c>
      <c r="N206" s="4" t="n">
        <f aca="false">J206-M206</f>
        <v>4854.56250011101</v>
      </c>
      <c r="O206" s="4" t="n">
        <f aca="false">O205+N206</f>
        <v>15755.1075148098</v>
      </c>
      <c r="P206" s="4" t="n">
        <f aca="false">MAX(0,-(R205+N206))</f>
        <v>0</v>
      </c>
      <c r="Q206" s="4" t="n">
        <f aca="false">Q205+P206</f>
        <v>16299.833296</v>
      </c>
      <c r="R206" s="4" t="n">
        <f aca="false">O206+Q206</f>
        <v>32054.9408108098</v>
      </c>
    </row>
    <row r="207" customFormat="false" ht="15" hidden="false" customHeight="false" outlineLevel="0" collapsed="false">
      <c r="A207" s="2" t="s">
        <v>45</v>
      </c>
      <c r="B207" s="2" t="s">
        <v>39</v>
      </c>
      <c r="C207" s="12" t="n">
        <v>15</v>
      </c>
      <c r="D207" s="12" t="n">
        <v>2038</v>
      </c>
      <c r="E207" s="4" t="n">
        <f aca="false">INDEX(驱动复算!A16:X16,1,情景参数!B7)</f>
        <v>16792.3004682843</v>
      </c>
      <c r="F207" s="4" t="n">
        <f aca="false">E207*(1-情景参数!D7)</f>
        <v>16792.3004682843</v>
      </c>
      <c r="G207" s="4" t="n">
        <f aca="false">IF(情景参数!E7="原表",驱动复算!U16-驱动复算!W16,驱动复算!P16)</f>
        <v>9884.50497007602</v>
      </c>
      <c r="H207" s="4" t="n">
        <f aca="false">IF(情景参数!E7="原表",驱动复算!W16,F207*情景参数!C7)</f>
        <v>335.846009365686</v>
      </c>
      <c r="I207" s="4" t="n">
        <f aca="false">IF(情景参数!E7="原表",驱动复算!U16,G207+H207)</f>
        <v>10220.3509794417</v>
      </c>
      <c r="J207" s="4" t="n">
        <f aca="false">(F207-I207)*(1-情景参数!F7)</f>
        <v>6571.94948884259</v>
      </c>
      <c r="K207" s="4" t="n">
        <f aca="false">偿债原表!C17</f>
        <v>0</v>
      </c>
      <c r="L207" s="4" t="n">
        <f aca="false">偿债原表!D17</f>
        <v>644</v>
      </c>
      <c r="M207" s="4" t="n">
        <f aca="false">K207+L207</f>
        <v>644</v>
      </c>
      <c r="N207" s="4" t="n">
        <f aca="false">J207-M207</f>
        <v>5927.94948884259</v>
      </c>
      <c r="O207" s="4" t="n">
        <f aca="false">O206+N207</f>
        <v>21683.0570036524</v>
      </c>
      <c r="P207" s="4" t="n">
        <f aca="false">MAX(0,-(R206+N207))</f>
        <v>0</v>
      </c>
      <c r="Q207" s="4" t="n">
        <f aca="false">Q206+P207</f>
        <v>16299.833296</v>
      </c>
      <c r="R207" s="4" t="n">
        <f aca="false">O207+Q207</f>
        <v>37982.8902996524</v>
      </c>
    </row>
    <row r="208" customFormat="false" ht="15" hidden="false" customHeight="false" outlineLevel="0" collapsed="false">
      <c r="A208" s="2" t="s">
        <v>45</v>
      </c>
      <c r="B208" s="2" t="s">
        <v>39</v>
      </c>
      <c r="C208" s="12" t="n">
        <v>16</v>
      </c>
      <c r="D208" s="12" t="n">
        <v>2039</v>
      </c>
      <c r="E208" s="4" t="n">
        <f aca="false">INDEX(驱动复算!A17:X17,1,情景参数!B7)</f>
        <v>17110.59844565</v>
      </c>
      <c r="F208" s="4" t="n">
        <f aca="false">E208*(1-情景参数!D7)</f>
        <v>17110.59844565</v>
      </c>
      <c r="G208" s="4" t="n">
        <f aca="false">IF(情景参数!E7="原表",驱动复算!U17-驱动复算!W17,驱动复算!P17)</f>
        <v>10181.0401191783</v>
      </c>
      <c r="H208" s="4" t="n">
        <f aca="false">IF(情景参数!E7="原表",驱动复算!W17,F208*情景参数!C7)</f>
        <v>342.211968913</v>
      </c>
      <c r="I208" s="4" t="n">
        <f aca="false">IF(情景参数!E7="原表",驱动复算!U17,G208+H208)</f>
        <v>10523.2520880913</v>
      </c>
      <c r="J208" s="4" t="n">
        <f aca="false">(F208-I208)*(1-情景参数!F7)</f>
        <v>6587.34635755868</v>
      </c>
      <c r="K208" s="4" t="n">
        <f aca="false">偿债原表!C18</f>
        <v>0</v>
      </c>
      <c r="L208" s="4" t="n">
        <f aca="false">偿债原表!D18</f>
        <v>644</v>
      </c>
      <c r="M208" s="4" t="n">
        <f aca="false">K208+L208</f>
        <v>644</v>
      </c>
      <c r="N208" s="4" t="n">
        <f aca="false">J208-M208</f>
        <v>5943.34635755868</v>
      </c>
      <c r="O208" s="4" t="n">
        <f aca="false">O207+N208</f>
        <v>27626.403361211</v>
      </c>
      <c r="P208" s="4" t="n">
        <f aca="false">MAX(0,-(R207+N208))</f>
        <v>0</v>
      </c>
      <c r="Q208" s="4" t="n">
        <f aca="false">Q207+P208</f>
        <v>16299.833296</v>
      </c>
      <c r="R208" s="4" t="n">
        <f aca="false">O208+Q208</f>
        <v>43926.2366572111</v>
      </c>
    </row>
    <row r="209" customFormat="false" ht="15" hidden="false" customHeight="false" outlineLevel="0" collapsed="false">
      <c r="A209" s="2" t="s">
        <v>45</v>
      </c>
      <c r="B209" s="2" t="s">
        <v>39</v>
      </c>
      <c r="C209" s="12" t="n">
        <v>17</v>
      </c>
      <c r="D209" s="12" t="n">
        <v>2040</v>
      </c>
      <c r="E209" s="4" t="n">
        <f aca="false">INDEX(驱动复算!A18:X18,1,情景参数!B7)</f>
        <v>17435.262382563</v>
      </c>
      <c r="F209" s="4" t="n">
        <f aca="false">E209*(1-情景参数!D7)</f>
        <v>17435.262382563</v>
      </c>
      <c r="G209" s="4" t="n">
        <f aca="false">IF(情景参数!E7="原表",驱动复算!U18-驱动复算!W18,驱动复算!P18)</f>
        <v>10486.4713227536</v>
      </c>
      <c r="H209" s="4" t="n">
        <f aca="false">IF(情景参数!E7="原表",驱动复算!W18,F209*情景参数!C7)</f>
        <v>348.70524765126</v>
      </c>
      <c r="I209" s="4" t="n">
        <f aca="false">IF(情景参数!E7="原表",驱动复算!U18,G209+H209)</f>
        <v>10835.1765704049</v>
      </c>
      <c r="J209" s="4" t="n">
        <f aca="false">(F209-I209)*(1-情景参数!F7)</f>
        <v>6600.08581215807</v>
      </c>
      <c r="K209" s="4" t="n">
        <f aca="false">偿债原表!C19</f>
        <v>0</v>
      </c>
      <c r="L209" s="4" t="n">
        <f aca="false">偿债原表!D19</f>
        <v>644</v>
      </c>
      <c r="M209" s="4" t="n">
        <f aca="false">K209+L209</f>
        <v>644</v>
      </c>
      <c r="N209" s="4" t="n">
        <f aca="false">J209-M209</f>
        <v>5956.08581215807</v>
      </c>
      <c r="O209" s="4" t="n">
        <f aca="false">O208+N209</f>
        <v>33582.4891733691</v>
      </c>
      <c r="P209" s="4" t="n">
        <f aca="false">MAX(0,-(R208+N209))</f>
        <v>0</v>
      </c>
      <c r="Q209" s="4" t="n">
        <f aca="false">Q208+P209</f>
        <v>16299.833296</v>
      </c>
      <c r="R209" s="4" t="n">
        <f aca="false">O209+Q209</f>
        <v>49882.3224693691</v>
      </c>
    </row>
    <row r="210" customFormat="false" ht="15" hidden="false" customHeight="false" outlineLevel="0" collapsed="false">
      <c r="A210" s="2" t="s">
        <v>45</v>
      </c>
      <c r="B210" s="2" t="s">
        <v>39</v>
      </c>
      <c r="C210" s="12" t="n">
        <v>18</v>
      </c>
      <c r="D210" s="12" t="n">
        <v>2041</v>
      </c>
      <c r="E210" s="4" t="n">
        <f aca="false">INDEX(驱动复算!A19:X19,1,情景参数!B7)</f>
        <v>17766.4195982142</v>
      </c>
      <c r="F210" s="4" t="n">
        <f aca="false">E210*(1-情景参数!D7)</f>
        <v>17766.4195982142</v>
      </c>
      <c r="G210" s="4" t="n">
        <f aca="false">IF(情景参数!E7="原表",驱动复算!U19-驱动复算!W19,驱动复算!P19)</f>
        <v>10801.0654624363</v>
      </c>
      <c r="H210" s="4" t="n">
        <f aca="false">IF(情景参数!E7="原表",驱动复算!W19,F210*情景参数!C7)</f>
        <v>355.328391964285</v>
      </c>
      <c r="I210" s="4" t="n">
        <f aca="false">IF(情景参数!E7="原表",驱动复算!U19,G210+H210)</f>
        <v>11156.3938544005</v>
      </c>
      <c r="J210" s="4" t="n">
        <f aca="false">(F210-I210)*(1-情景参数!F7)</f>
        <v>6610.02574381369</v>
      </c>
      <c r="K210" s="4" t="n">
        <f aca="false">偿债原表!C20</f>
        <v>20000</v>
      </c>
      <c r="L210" s="4" t="n">
        <f aca="false">偿债原表!D20</f>
        <v>644</v>
      </c>
      <c r="M210" s="4" t="n">
        <f aca="false">K210+L210</f>
        <v>20644</v>
      </c>
      <c r="N210" s="4" t="n">
        <f aca="false">J210-M210</f>
        <v>-14033.9742561863</v>
      </c>
      <c r="O210" s="4" t="n">
        <f aca="false">O209+N210</f>
        <v>19548.5149171828</v>
      </c>
      <c r="P210" s="4" t="n">
        <f aca="false">MAX(0,-(R209+N210))</f>
        <v>0</v>
      </c>
      <c r="Q210" s="4" t="n">
        <f aca="false">Q209+P210</f>
        <v>16299.833296</v>
      </c>
      <c r="R210" s="4" t="n">
        <f aca="false">O210+Q210</f>
        <v>35848.3482131828</v>
      </c>
    </row>
    <row r="211" customFormat="false" ht="15" hidden="false" customHeight="false" outlineLevel="0" collapsed="false">
      <c r="A211" s="2" t="s">
        <v>45</v>
      </c>
      <c r="B211" s="2" t="s">
        <v>40</v>
      </c>
      <c r="C211" s="12" t="n">
        <v>0</v>
      </c>
      <c r="D211" s="13" t="s">
        <v>248</v>
      </c>
      <c r="E211" s="4" t="n">
        <f aca="false">0</f>
        <v>0</v>
      </c>
      <c r="F211" s="4" t="n">
        <f aca="false">E211*(1-情景参数!D7)</f>
        <v>0</v>
      </c>
      <c r="G211" s="4" t="n">
        <f aca="false">0</f>
        <v>0</v>
      </c>
      <c r="H211" s="4" t="n">
        <f aca="false">0</f>
        <v>0</v>
      </c>
      <c r="I211" s="4" t="n">
        <f aca="false">0</f>
        <v>0</v>
      </c>
      <c r="J211" s="4" t="n">
        <f aca="false">(F211-I211)*(1-情景参数!F7)</f>
        <v>0</v>
      </c>
      <c r="K211" s="4" t="n">
        <f aca="false">偿债原表!F2</f>
        <v>0</v>
      </c>
      <c r="L211" s="4" t="n">
        <f aca="false">偿债原表!G2</f>
        <v>1374.2</v>
      </c>
      <c r="M211" s="4" t="n">
        <f aca="false">K211+L211</f>
        <v>1374.2</v>
      </c>
      <c r="N211" s="4" t="n">
        <f aca="false">J211-M211</f>
        <v>-1374.2</v>
      </c>
      <c r="O211" s="4" t="n">
        <f aca="false">N211</f>
        <v>-1374.2</v>
      </c>
      <c r="P211" s="4" t="n">
        <f aca="false">MAX(0,-N211)</f>
        <v>1374.2</v>
      </c>
      <c r="Q211" s="4" t="n">
        <f aca="false">P211</f>
        <v>1374.2</v>
      </c>
      <c r="R211" s="4" t="n">
        <f aca="false">O211+Q211</f>
        <v>0</v>
      </c>
    </row>
    <row r="212" customFormat="false" ht="15" hidden="false" customHeight="false" outlineLevel="0" collapsed="false">
      <c r="A212" s="2" t="s">
        <v>45</v>
      </c>
      <c r="B212" s="2" t="s">
        <v>40</v>
      </c>
      <c r="C212" s="12" t="n">
        <v>1</v>
      </c>
      <c r="D212" s="12" t="n">
        <v>2024</v>
      </c>
      <c r="E212" s="4" t="n">
        <f aca="false">INDEX(驱动复算!A2:X2,1,情景参数!B7)</f>
        <v>0</v>
      </c>
      <c r="F212" s="4" t="n">
        <f aca="false">E212*(1-情景参数!D7)</f>
        <v>0</v>
      </c>
      <c r="G212" s="4" t="n">
        <f aca="false">IF(情景参数!E7="原表",驱动复算!U2-驱动复算!W2,驱动复算!P2)</f>
        <v>0</v>
      </c>
      <c r="H212" s="4" t="n">
        <f aca="false">IF(情景参数!E7="原表",驱动复算!W2,F212*情景参数!C7)</f>
        <v>0</v>
      </c>
      <c r="I212" s="4" t="n">
        <f aca="false">IF(情景参数!E7="原表",驱动复算!U2,G212+H212)</f>
        <v>0</v>
      </c>
      <c r="J212" s="4" t="n">
        <f aca="false">(F212-I212)*(1-情景参数!F7)</f>
        <v>0</v>
      </c>
      <c r="K212" s="4" t="n">
        <f aca="false">偿债原表!F3</f>
        <v>0</v>
      </c>
      <c r="L212" s="4" t="n">
        <f aca="false">偿债原表!G3</f>
        <v>1107.58</v>
      </c>
      <c r="M212" s="4" t="n">
        <f aca="false">K212+L212</f>
        <v>1107.58</v>
      </c>
      <c r="N212" s="4" t="n">
        <f aca="false">J212-M212</f>
        <v>-1107.58</v>
      </c>
      <c r="O212" s="4" t="n">
        <f aca="false">O211+N212</f>
        <v>-2481.78</v>
      </c>
      <c r="P212" s="4" t="n">
        <f aca="false">MAX(0,-(R211+N212))</f>
        <v>1107.58</v>
      </c>
      <c r="Q212" s="4" t="n">
        <f aca="false">Q211+P212</f>
        <v>2481.78</v>
      </c>
      <c r="R212" s="4" t="n">
        <f aca="false">O212+Q212</f>
        <v>0</v>
      </c>
    </row>
    <row r="213" customFormat="false" ht="15" hidden="false" customHeight="false" outlineLevel="0" collapsed="false">
      <c r="A213" s="2" t="s">
        <v>45</v>
      </c>
      <c r="B213" s="2" t="s">
        <v>40</v>
      </c>
      <c r="C213" s="12" t="n">
        <v>2</v>
      </c>
      <c r="D213" s="12" t="n">
        <v>2025</v>
      </c>
      <c r="E213" s="4" t="n">
        <f aca="false">INDEX(驱动复算!A3:X3,1,情景参数!B7)</f>
        <v>0</v>
      </c>
      <c r="F213" s="4" t="n">
        <f aca="false">E213*(1-情景参数!D7)</f>
        <v>0</v>
      </c>
      <c r="G213" s="4" t="n">
        <f aca="false">IF(情景参数!E7="原表",驱动复算!U3-驱动复算!W3,驱动复算!P3)</f>
        <v>0</v>
      </c>
      <c r="H213" s="4" t="n">
        <f aca="false">IF(情景参数!E7="原表",驱动复算!W3,F213*情景参数!C7)</f>
        <v>0</v>
      </c>
      <c r="I213" s="4" t="n">
        <f aca="false">IF(情景参数!E7="原表",驱动复算!U3,G213+H213)</f>
        <v>0</v>
      </c>
      <c r="J213" s="4" t="n">
        <f aca="false">(F213-I213)*(1-情景参数!F7)</f>
        <v>0</v>
      </c>
      <c r="K213" s="4" t="n">
        <f aca="false">偿债原表!F4</f>
        <v>0</v>
      </c>
      <c r="L213" s="4" t="n">
        <f aca="false">偿债原表!G4</f>
        <v>1107.58</v>
      </c>
      <c r="M213" s="4" t="n">
        <f aca="false">K213+L213</f>
        <v>1107.58</v>
      </c>
      <c r="N213" s="4" t="n">
        <f aca="false">J213-M213</f>
        <v>-1107.58</v>
      </c>
      <c r="O213" s="4" t="n">
        <f aca="false">O212+N213</f>
        <v>-3589.36</v>
      </c>
      <c r="P213" s="4" t="n">
        <f aca="false">MAX(0,-(R212+N213))</f>
        <v>1107.58</v>
      </c>
      <c r="Q213" s="4" t="n">
        <f aca="false">Q212+P213</f>
        <v>3589.36</v>
      </c>
      <c r="R213" s="4" t="n">
        <f aca="false">O213+Q213</f>
        <v>0</v>
      </c>
    </row>
    <row r="214" customFormat="false" ht="15" hidden="false" customHeight="false" outlineLevel="0" collapsed="false">
      <c r="A214" s="2" t="s">
        <v>45</v>
      </c>
      <c r="B214" s="2" t="s">
        <v>40</v>
      </c>
      <c r="C214" s="12" t="n">
        <v>3</v>
      </c>
      <c r="D214" s="12" t="n">
        <v>2026</v>
      </c>
      <c r="E214" s="4" t="n">
        <f aca="false">INDEX(驱动复算!A4:X4,1,情景参数!B7)</f>
        <v>0</v>
      </c>
      <c r="F214" s="4" t="n">
        <f aca="false">E214*(1-情景参数!D7)</f>
        <v>0</v>
      </c>
      <c r="G214" s="4" t="n">
        <f aca="false">IF(情景参数!E7="原表",驱动复算!U4-驱动复算!W4,驱动复算!P4)</f>
        <v>0</v>
      </c>
      <c r="H214" s="4" t="n">
        <f aca="false">IF(情景参数!E7="原表",驱动复算!W4,F214*情景参数!C7)</f>
        <v>0</v>
      </c>
      <c r="I214" s="4" t="n">
        <f aca="false">IF(情景参数!E7="原表",驱动复算!U4,G214+H214)</f>
        <v>0</v>
      </c>
      <c r="J214" s="4" t="n">
        <f aca="false">(F214-I214)*(1-情景参数!F7)</f>
        <v>0</v>
      </c>
      <c r="K214" s="4" t="n">
        <f aca="false">偿债原表!F5</f>
        <v>0</v>
      </c>
      <c r="L214" s="4" t="n">
        <f aca="false">偿债原表!G5</f>
        <v>1107.58</v>
      </c>
      <c r="M214" s="4" t="n">
        <f aca="false">K214+L214</f>
        <v>1107.58</v>
      </c>
      <c r="N214" s="4" t="n">
        <f aca="false">J214-M214</f>
        <v>-1107.58</v>
      </c>
      <c r="O214" s="4" t="n">
        <f aca="false">O213+N214</f>
        <v>-4696.94</v>
      </c>
      <c r="P214" s="4" t="n">
        <f aca="false">MAX(0,-(R213+N214))</f>
        <v>1107.58</v>
      </c>
      <c r="Q214" s="4" t="n">
        <f aca="false">Q213+P214</f>
        <v>4696.94</v>
      </c>
      <c r="R214" s="4" t="n">
        <f aca="false">O214+Q214</f>
        <v>0</v>
      </c>
    </row>
    <row r="215" customFormat="false" ht="15" hidden="false" customHeight="false" outlineLevel="0" collapsed="false">
      <c r="A215" s="2" t="s">
        <v>45</v>
      </c>
      <c r="B215" s="2" t="s">
        <v>40</v>
      </c>
      <c r="C215" s="12" t="n">
        <v>4</v>
      </c>
      <c r="D215" s="12" t="n">
        <v>2027</v>
      </c>
      <c r="E215" s="4" t="n">
        <f aca="false">INDEX(驱动复算!A5:X5,1,情景参数!B7)</f>
        <v>0</v>
      </c>
      <c r="F215" s="4" t="n">
        <f aca="false">E215*(1-情景参数!D7)</f>
        <v>0</v>
      </c>
      <c r="G215" s="4" t="n">
        <f aca="false">IF(情景参数!E7="原表",驱动复算!U5-驱动复算!W5,驱动复算!P5)</f>
        <v>0</v>
      </c>
      <c r="H215" s="4" t="n">
        <f aca="false">IF(情景参数!E7="原表",驱动复算!W5,F215*情景参数!C7)</f>
        <v>0</v>
      </c>
      <c r="I215" s="4" t="n">
        <f aca="false">IF(情景参数!E7="原表",驱动复算!U5,G215+H215)</f>
        <v>0</v>
      </c>
      <c r="J215" s="4" t="n">
        <f aca="false">(F215-I215)*(1-情景参数!F7)</f>
        <v>0</v>
      </c>
      <c r="K215" s="4" t="n">
        <f aca="false">偿债原表!F6</f>
        <v>0</v>
      </c>
      <c r="L215" s="4" t="n">
        <f aca="false">偿债原表!G6</f>
        <v>1107.58</v>
      </c>
      <c r="M215" s="4" t="n">
        <f aca="false">K215+L215</f>
        <v>1107.58</v>
      </c>
      <c r="N215" s="4" t="n">
        <f aca="false">J215-M215</f>
        <v>-1107.58</v>
      </c>
      <c r="O215" s="4" t="n">
        <f aca="false">O214+N215</f>
        <v>-5804.52</v>
      </c>
      <c r="P215" s="4" t="n">
        <f aca="false">MAX(0,-(R214+N215))</f>
        <v>1107.58</v>
      </c>
      <c r="Q215" s="4" t="n">
        <f aca="false">Q214+P215</f>
        <v>5804.52</v>
      </c>
      <c r="R215" s="4" t="n">
        <f aca="false">O215+Q215</f>
        <v>0</v>
      </c>
    </row>
    <row r="216" customFormat="false" ht="15" hidden="false" customHeight="false" outlineLevel="0" collapsed="false">
      <c r="A216" s="2" t="s">
        <v>45</v>
      </c>
      <c r="B216" s="2" t="s">
        <v>40</v>
      </c>
      <c r="C216" s="12" t="n">
        <v>5</v>
      </c>
      <c r="D216" s="12" t="n">
        <v>2028</v>
      </c>
      <c r="E216" s="4" t="n">
        <f aca="false">INDEX(驱动复算!A6:X6,1,情景参数!B7)</f>
        <v>9076.9048</v>
      </c>
      <c r="F216" s="4" t="n">
        <f aca="false">E216*(1-情景参数!D7)</f>
        <v>9076.9048</v>
      </c>
      <c r="G216" s="4" t="n">
        <f aca="false">IF(情景参数!E7="原表",驱动复算!U6-驱动复算!W6,驱动复算!P6)</f>
        <v>7355</v>
      </c>
      <c r="H216" s="4" t="n">
        <f aca="false">IF(情景参数!E7="原表",驱动复算!W6,F216*情景参数!C7)</f>
        <v>181.538096</v>
      </c>
      <c r="I216" s="4" t="n">
        <f aca="false">IF(情景参数!E7="原表",驱动复算!U6,G216+H216)</f>
        <v>7536.538096</v>
      </c>
      <c r="J216" s="4" t="n">
        <f aca="false">(F216-I216)*(1-情景参数!F7)</f>
        <v>1540.366704</v>
      </c>
      <c r="K216" s="4" t="n">
        <f aca="false">偿债原表!F7</f>
        <v>1400</v>
      </c>
      <c r="L216" s="4" t="n">
        <f aca="false">偿债原表!G7</f>
        <v>1107.58</v>
      </c>
      <c r="M216" s="4" t="n">
        <f aca="false">K216+L216</f>
        <v>2507.58</v>
      </c>
      <c r="N216" s="4" t="n">
        <f aca="false">J216-M216</f>
        <v>-967.213296000002</v>
      </c>
      <c r="O216" s="4" t="n">
        <f aca="false">O215+N216</f>
        <v>-6771.733296</v>
      </c>
      <c r="P216" s="4" t="n">
        <f aca="false">MAX(0,-(R215+N216))</f>
        <v>967.213296000002</v>
      </c>
      <c r="Q216" s="4" t="n">
        <f aca="false">Q215+P216</f>
        <v>6771.733296</v>
      </c>
      <c r="R216" s="4" t="n">
        <f aca="false">O216+Q216</f>
        <v>0</v>
      </c>
    </row>
    <row r="217" customFormat="false" ht="15" hidden="false" customHeight="false" outlineLevel="0" collapsed="false">
      <c r="A217" s="2" t="s">
        <v>45</v>
      </c>
      <c r="B217" s="2" t="s">
        <v>40</v>
      </c>
      <c r="C217" s="12" t="n">
        <v>6</v>
      </c>
      <c r="D217" s="12" t="n">
        <v>2029</v>
      </c>
      <c r="E217" s="4" t="n">
        <f aca="false">INDEX(驱动复算!A7:X7,1,情景参数!B7)</f>
        <v>9911.9048</v>
      </c>
      <c r="F217" s="4" t="n">
        <f aca="false">E217*(1-情景参数!D7)</f>
        <v>9911.9048</v>
      </c>
      <c r="G217" s="4" t="n">
        <f aca="false">IF(情景参数!E7="原表",驱动复算!U7-驱动复算!W7,驱动复算!P7)</f>
        <v>7575.65</v>
      </c>
      <c r="H217" s="4" t="n">
        <f aca="false">IF(情景参数!E7="原表",驱动复算!W7,F217*情景参数!C7)</f>
        <v>198.238096</v>
      </c>
      <c r="I217" s="4" t="n">
        <f aca="false">IF(情景参数!E7="原表",驱动复算!U7,G217+H217)</f>
        <v>7773.888096</v>
      </c>
      <c r="J217" s="4" t="n">
        <f aca="false">(F217-I217)*(1-情景参数!F7)</f>
        <v>2138.016704</v>
      </c>
      <c r="K217" s="4" t="n">
        <f aca="false">偿债原表!F8</f>
        <v>0</v>
      </c>
      <c r="L217" s="4" t="n">
        <f aca="false">偿债原表!G8</f>
        <v>1075.8</v>
      </c>
      <c r="M217" s="4" t="n">
        <f aca="false">K217+L217</f>
        <v>1075.8</v>
      </c>
      <c r="N217" s="4" t="n">
        <f aca="false">J217-M217</f>
        <v>1062.216704</v>
      </c>
      <c r="O217" s="4" t="n">
        <f aca="false">O216+N217</f>
        <v>-5709.516592</v>
      </c>
      <c r="P217" s="4" t="n">
        <f aca="false">MAX(0,-(R216+N217))</f>
        <v>0</v>
      </c>
      <c r="Q217" s="4" t="n">
        <f aca="false">Q216+P217</f>
        <v>6771.733296</v>
      </c>
      <c r="R217" s="4" t="n">
        <f aca="false">O217+Q217</f>
        <v>1062.216704</v>
      </c>
    </row>
    <row r="218" customFormat="false" ht="15" hidden="false" customHeight="false" outlineLevel="0" collapsed="false">
      <c r="A218" s="2" t="s">
        <v>45</v>
      </c>
      <c r="B218" s="2" t="s">
        <v>40</v>
      </c>
      <c r="C218" s="12" t="n">
        <v>7</v>
      </c>
      <c r="D218" s="12" t="n">
        <v>2030</v>
      </c>
      <c r="E218" s="4" t="n">
        <f aca="false">INDEX(驱动复算!A8:X8,1,情景参数!B7)</f>
        <v>10830.4048</v>
      </c>
      <c r="F218" s="4" t="n">
        <f aca="false">E218*(1-情景参数!D7)</f>
        <v>10830.4048</v>
      </c>
      <c r="G218" s="4" t="n">
        <f aca="false">IF(情景参数!E7="原表",驱动复算!U8-驱动复算!W8,驱动复算!P8)</f>
        <v>7802.9195</v>
      </c>
      <c r="H218" s="4" t="n">
        <f aca="false">IF(情景参数!E7="原表",驱动复算!W8,F218*情景参数!C7)</f>
        <v>216.608096</v>
      </c>
      <c r="I218" s="4" t="n">
        <f aca="false">IF(情景参数!E7="原表",驱动复算!U8,G218+H218)</f>
        <v>8019.527596</v>
      </c>
      <c r="J218" s="4" t="n">
        <f aca="false">(F218-I218)*(1-情景参数!F7)</f>
        <v>2810.877204</v>
      </c>
      <c r="K218" s="4" t="n">
        <f aca="false">偿债原表!F9</f>
        <v>0</v>
      </c>
      <c r="L218" s="4" t="n">
        <f aca="false">偿债原表!G9</f>
        <v>1075.8</v>
      </c>
      <c r="M218" s="4" t="n">
        <f aca="false">K218+L218</f>
        <v>1075.8</v>
      </c>
      <c r="N218" s="4" t="n">
        <f aca="false">J218-M218</f>
        <v>1735.077204</v>
      </c>
      <c r="O218" s="4" t="n">
        <f aca="false">O217+N218</f>
        <v>-3974.439388</v>
      </c>
      <c r="P218" s="4" t="n">
        <f aca="false">MAX(0,-(R217+N218))</f>
        <v>0</v>
      </c>
      <c r="Q218" s="4" t="n">
        <f aca="false">Q217+P218</f>
        <v>6771.733296</v>
      </c>
      <c r="R218" s="4" t="n">
        <f aca="false">O218+Q218</f>
        <v>2797.293908</v>
      </c>
    </row>
    <row r="219" customFormat="false" ht="15" hidden="false" customHeight="false" outlineLevel="0" collapsed="false">
      <c r="A219" s="2" t="s">
        <v>45</v>
      </c>
      <c r="B219" s="2" t="s">
        <v>40</v>
      </c>
      <c r="C219" s="12" t="n">
        <v>8</v>
      </c>
      <c r="D219" s="12" t="n">
        <v>2031</v>
      </c>
      <c r="E219" s="4" t="n">
        <f aca="false">INDEX(驱动复算!A9:X9,1,情景参数!B7)</f>
        <v>11840.7548</v>
      </c>
      <c r="F219" s="4" t="n">
        <f aca="false">E219*(1-情景参数!D7)</f>
        <v>11840.7548</v>
      </c>
      <c r="G219" s="4" t="n">
        <f aca="false">IF(情景参数!E7="原表",驱动复算!U9-驱动复算!W9,驱动复算!P9)</f>
        <v>8037.007085</v>
      </c>
      <c r="H219" s="4" t="n">
        <f aca="false">IF(情景参数!E7="原表",驱动复算!W9,F219*情景参数!C7)</f>
        <v>236.815096</v>
      </c>
      <c r="I219" s="4" t="n">
        <f aca="false">IF(情景参数!E7="原表",驱动复算!U9,G219+H219)</f>
        <v>8273.822181</v>
      </c>
      <c r="J219" s="4" t="n">
        <f aca="false">(F219-I219)*(1-情景参数!F7)</f>
        <v>3566.932619</v>
      </c>
      <c r="K219" s="4" t="n">
        <f aca="false">偿债原表!F10</f>
        <v>0</v>
      </c>
      <c r="L219" s="4" t="n">
        <f aca="false">偿债原表!G10</f>
        <v>1075.8</v>
      </c>
      <c r="M219" s="4" t="n">
        <f aca="false">K219+L219</f>
        <v>1075.8</v>
      </c>
      <c r="N219" s="4" t="n">
        <f aca="false">J219-M219</f>
        <v>2491.132619</v>
      </c>
      <c r="O219" s="4" t="n">
        <f aca="false">O218+N219</f>
        <v>-1483.306769</v>
      </c>
      <c r="P219" s="4" t="n">
        <f aca="false">MAX(0,-(R218+N219))</f>
        <v>0</v>
      </c>
      <c r="Q219" s="4" t="n">
        <f aca="false">Q218+P219</f>
        <v>6771.733296</v>
      </c>
      <c r="R219" s="4" t="n">
        <f aca="false">O219+Q219</f>
        <v>5288.426527</v>
      </c>
    </row>
    <row r="220" customFormat="false" ht="15" hidden="false" customHeight="false" outlineLevel="0" collapsed="false">
      <c r="A220" s="2" t="s">
        <v>45</v>
      </c>
      <c r="B220" s="2" t="s">
        <v>40</v>
      </c>
      <c r="C220" s="12" t="n">
        <v>9</v>
      </c>
      <c r="D220" s="12" t="n">
        <v>2032</v>
      </c>
      <c r="E220" s="4" t="n">
        <f aca="false">INDEX(驱动复算!A10:X10,1,情景参数!B7)</f>
        <v>12952.1398</v>
      </c>
      <c r="F220" s="4" t="n">
        <f aca="false">E220*(1-情景参数!D7)</f>
        <v>12952.1398</v>
      </c>
      <c r="G220" s="4" t="n">
        <f aca="false">IF(情景参数!E7="原表",驱动复算!U10-驱动复算!W10,驱动复算!P10)</f>
        <v>8278.11729755</v>
      </c>
      <c r="H220" s="4" t="n">
        <f aca="false">IF(情景参数!E7="原表",驱动复算!W10,F220*情景参数!C7)</f>
        <v>259.042796</v>
      </c>
      <c r="I220" s="4" t="n">
        <f aca="false">IF(情景参数!E7="原表",驱动复算!U10,G220+H220)</f>
        <v>8537.16009355</v>
      </c>
      <c r="J220" s="4" t="n">
        <f aca="false">(F220-I220)*(1-情景参数!F7)</f>
        <v>4414.97970645</v>
      </c>
      <c r="K220" s="4" t="n">
        <f aca="false">偿债原表!F11</f>
        <v>2000</v>
      </c>
      <c r="L220" s="4" t="n">
        <f aca="false">偿债原表!G11</f>
        <v>1075.8</v>
      </c>
      <c r="M220" s="4" t="n">
        <f aca="false">K220+L220</f>
        <v>3075.8</v>
      </c>
      <c r="N220" s="4" t="n">
        <f aca="false">J220-M220</f>
        <v>1339.17970645</v>
      </c>
      <c r="O220" s="4" t="n">
        <f aca="false">O219+N220</f>
        <v>-144.127062549996</v>
      </c>
      <c r="P220" s="4" t="n">
        <f aca="false">MAX(0,-(R219+N220))</f>
        <v>0</v>
      </c>
      <c r="Q220" s="4" t="n">
        <f aca="false">Q219+P220</f>
        <v>6771.733296</v>
      </c>
      <c r="R220" s="4" t="n">
        <f aca="false">O220+Q220</f>
        <v>6627.60623345001</v>
      </c>
    </row>
    <row r="221" customFormat="false" ht="15" hidden="false" customHeight="false" outlineLevel="0" collapsed="false">
      <c r="A221" s="2" t="s">
        <v>45</v>
      </c>
      <c r="B221" s="2" t="s">
        <v>40</v>
      </c>
      <c r="C221" s="12" t="n">
        <v>10</v>
      </c>
      <c r="D221" s="12" t="n">
        <v>2033</v>
      </c>
      <c r="E221" s="4" t="n">
        <f aca="false">INDEX(驱动复算!A11:X11,1,情景参数!B7)</f>
        <v>13687.09275</v>
      </c>
      <c r="F221" s="4" t="n">
        <f aca="false">E221*(1-情景参数!D7)</f>
        <v>13687.09275</v>
      </c>
      <c r="G221" s="4" t="n">
        <f aca="false">IF(情景参数!E7="原表",驱动复算!U11-驱动复算!W11,驱动复算!P11)</f>
        <v>8526.4608164765</v>
      </c>
      <c r="H221" s="4" t="n">
        <f aca="false">IF(情景参数!E7="原表",驱动复算!W11,F221*情景参数!C7)</f>
        <v>273.741855</v>
      </c>
      <c r="I221" s="4" t="n">
        <f aca="false">IF(情景参数!E7="原表",驱动复算!U11,G221+H221)</f>
        <v>8800.2026714765</v>
      </c>
      <c r="J221" s="4" t="n">
        <f aca="false">(F221-I221)*(1-情景参数!F7)</f>
        <v>4886.8900785235</v>
      </c>
      <c r="K221" s="4" t="n">
        <f aca="false">偿债原表!F12</f>
        <v>9600</v>
      </c>
      <c r="L221" s="4" t="n">
        <f aca="false">偿债原表!G12</f>
        <v>1018.8</v>
      </c>
      <c r="M221" s="4" t="n">
        <f aca="false">K221+L221</f>
        <v>10618.8</v>
      </c>
      <c r="N221" s="4" t="n">
        <f aca="false">J221-M221</f>
        <v>-5731.9099214765</v>
      </c>
      <c r="O221" s="4" t="n">
        <f aca="false">O220+N221</f>
        <v>-5876.03698402649</v>
      </c>
      <c r="P221" s="4" t="n">
        <f aca="false">MAX(0,-(R220+N221))</f>
        <v>0</v>
      </c>
      <c r="Q221" s="4" t="n">
        <f aca="false">Q220+P221</f>
        <v>6771.733296</v>
      </c>
      <c r="R221" s="4" t="n">
        <f aca="false">O221+Q221</f>
        <v>895.696311973508</v>
      </c>
    </row>
    <row r="222" customFormat="false" ht="15" hidden="false" customHeight="false" outlineLevel="0" collapsed="false">
      <c r="A222" s="2" t="s">
        <v>45</v>
      </c>
      <c r="B222" s="2" t="s">
        <v>40</v>
      </c>
      <c r="C222" s="12" t="n">
        <v>11</v>
      </c>
      <c r="D222" s="12" t="n">
        <v>2034</v>
      </c>
      <c r="E222" s="4" t="n">
        <f aca="false">INDEX(驱动复算!A12:X12,1,情景参数!B7)</f>
        <v>14328.9175875</v>
      </c>
      <c r="F222" s="4" t="n">
        <f aca="false">E222*(1-情景参数!D7)</f>
        <v>14328.9175875</v>
      </c>
      <c r="G222" s="4" t="n">
        <f aca="false">IF(情景参数!E7="原表",驱动复算!U12-驱动复算!W12,驱动复算!P12)</f>
        <v>8782.2546409708</v>
      </c>
      <c r="H222" s="4" t="n">
        <f aca="false">IF(情景参数!E7="原表",驱动复算!W12,F222*情景参数!C7)</f>
        <v>286.57835175</v>
      </c>
      <c r="I222" s="4" t="n">
        <f aca="false">IF(情景参数!E7="原表",驱动复算!U12,G222+H222)</f>
        <v>9068.8329927208</v>
      </c>
      <c r="J222" s="4" t="n">
        <f aca="false">(F222-I222)*(1-情景参数!F7)</f>
        <v>5260.08459477921</v>
      </c>
      <c r="K222" s="4" t="n">
        <f aca="false">偿债原表!F13</f>
        <v>0</v>
      </c>
      <c r="L222" s="4" t="n">
        <f aca="false">偿债原表!G13</f>
        <v>673.2</v>
      </c>
      <c r="M222" s="4" t="n">
        <f aca="false">K222+L222</f>
        <v>673.2</v>
      </c>
      <c r="N222" s="4" t="n">
        <f aca="false">J222-M222</f>
        <v>4586.88459477921</v>
      </c>
      <c r="O222" s="4" t="n">
        <f aca="false">O221+N222</f>
        <v>-1289.15238924728</v>
      </c>
      <c r="P222" s="4" t="n">
        <f aca="false">MAX(0,-(R221+N222))</f>
        <v>0</v>
      </c>
      <c r="Q222" s="4" t="n">
        <f aca="false">Q221+P222</f>
        <v>6771.733296</v>
      </c>
      <c r="R222" s="4" t="n">
        <f aca="false">O222+Q222</f>
        <v>5482.58090675272</v>
      </c>
    </row>
    <row r="223" customFormat="false" ht="15" hidden="false" customHeight="false" outlineLevel="0" collapsed="false">
      <c r="A223" s="2" t="s">
        <v>45</v>
      </c>
      <c r="B223" s="2" t="s">
        <v>40</v>
      </c>
      <c r="C223" s="12" t="n">
        <v>12</v>
      </c>
      <c r="D223" s="12" t="n">
        <v>2035</v>
      </c>
      <c r="E223" s="4" t="n">
        <f aca="false">INDEX(驱动复算!A13:X13,1,情景参数!B7)</f>
        <v>15002.833666875</v>
      </c>
      <c r="F223" s="4" t="n">
        <f aca="false">E223*(1-情景参数!D7)</f>
        <v>15002.833666875</v>
      </c>
      <c r="G223" s="4" t="n">
        <f aca="false">IF(情景参数!E7="原表",驱动复算!U13-驱动复算!W13,驱动复算!P13)</f>
        <v>9045.72228019992</v>
      </c>
      <c r="H223" s="4" t="n">
        <f aca="false">IF(情景参数!E7="原表",驱动复算!W13,F223*情景参数!C7)</f>
        <v>300.0566733375</v>
      </c>
      <c r="I223" s="4" t="n">
        <f aca="false">IF(情景参数!E7="原表",驱动复算!U13,G223+H223)</f>
        <v>9345.77895353742</v>
      </c>
      <c r="J223" s="4" t="n">
        <f aca="false">(F223-I223)*(1-情景参数!F7)</f>
        <v>5657.05471333759</v>
      </c>
      <c r="K223" s="4" t="n">
        <f aca="false">偿债原表!F14</f>
        <v>0</v>
      </c>
      <c r="L223" s="4" t="n">
        <f aca="false">偿债原表!G14</f>
        <v>673.2</v>
      </c>
      <c r="M223" s="4" t="n">
        <f aca="false">K223+L223</f>
        <v>673.2</v>
      </c>
      <c r="N223" s="4" t="n">
        <f aca="false">J223-M223</f>
        <v>4983.85471333759</v>
      </c>
      <c r="O223" s="4" t="n">
        <f aca="false">O222+N223</f>
        <v>3694.7023240903</v>
      </c>
      <c r="P223" s="4" t="n">
        <f aca="false">MAX(0,-(R222+N223))</f>
        <v>0</v>
      </c>
      <c r="Q223" s="4" t="n">
        <f aca="false">Q222+P223</f>
        <v>6771.733296</v>
      </c>
      <c r="R223" s="4" t="n">
        <f aca="false">O223+Q223</f>
        <v>10466.4356200903</v>
      </c>
    </row>
    <row r="224" customFormat="false" ht="15" hidden="false" customHeight="false" outlineLevel="0" collapsed="false">
      <c r="A224" s="2" t="s">
        <v>45</v>
      </c>
      <c r="B224" s="2" t="s">
        <v>40</v>
      </c>
      <c r="C224" s="12" t="n">
        <v>13</v>
      </c>
      <c r="D224" s="12" t="n">
        <v>2036</v>
      </c>
      <c r="E224" s="4" t="n">
        <f aca="false">INDEX(驱动复算!A14:X14,1,情景参数!B7)</f>
        <v>15710.4455502188</v>
      </c>
      <c r="F224" s="4" t="n">
        <f aca="false">E224*(1-情景参数!D7)</f>
        <v>15710.4455502188</v>
      </c>
      <c r="G224" s="4" t="n">
        <f aca="false">IF(情景参数!E7="原表",驱动复算!U14-驱动复算!W14,驱动复算!P14)</f>
        <v>9317.09394860592</v>
      </c>
      <c r="H224" s="4" t="n">
        <f aca="false">IF(情景参数!E7="原表",驱动复算!W14,F224*情景参数!C7)</f>
        <v>314.208911004375</v>
      </c>
      <c r="I224" s="4" t="n">
        <f aca="false">IF(情景参数!E7="原表",驱动复算!U14,G224+H224)</f>
        <v>9631.30285961029</v>
      </c>
      <c r="J224" s="4" t="n">
        <f aca="false">(F224-I224)*(1-情景参数!F7)</f>
        <v>6079.14269060847</v>
      </c>
      <c r="K224" s="4" t="n">
        <f aca="false">偿债原表!F15</f>
        <v>0</v>
      </c>
      <c r="L224" s="4" t="n">
        <f aca="false">偿债原表!G15</f>
        <v>673.2</v>
      </c>
      <c r="M224" s="4" t="n">
        <f aca="false">K224+L224</f>
        <v>673.2</v>
      </c>
      <c r="N224" s="4" t="n">
        <f aca="false">J224-M224</f>
        <v>5405.94269060847</v>
      </c>
      <c r="O224" s="4" t="n">
        <f aca="false">O223+N224</f>
        <v>9100.64501469877</v>
      </c>
      <c r="P224" s="4" t="n">
        <f aca="false">MAX(0,-(R223+N224))</f>
        <v>0</v>
      </c>
      <c r="Q224" s="4" t="n">
        <f aca="false">Q223+P224</f>
        <v>6771.733296</v>
      </c>
      <c r="R224" s="4" t="n">
        <f aca="false">O224+Q224</f>
        <v>15872.3783106988</v>
      </c>
    </row>
    <row r="225" customFormat="false" ht="15" hidden="false" customHeight="false" outlineLevel="0" collapsed="false">
      <c r="A225" s="2" t="s">
        <v>45</v>
      </c>
      <c r="B225" s="2" t="s">
        <v>40</v>
      </c>
      <c r="C225" s="12" t="n">
        <v>14</v>
      </c>
      <c r="D225" s="12" t="n">
        <v>2037</v>
      </c>
      <c r="E225" s="4" t="n">
        <f aca="false">INDEX(驱动复算!A15:X15,1,情景参数!B7)</f>
        <v>16453.4380277297</v>
      </c>
      <c r="F225" s="4" t="n">
        <f aca="false">E225*(1-情景参数!D7)</f>
        <v>16453.4380277297</v>
      </c>
      <c r="G225" s="4" t="n">
        <f aca="false">IF(情景参数!E7="原表",驱动复算!U15-驱动复算!W15,驱动复算!P15)</f>
        <v>9596.6067670641</v>
      </c>
      <c r="H225" s="4" t="n">
        <f aca="false">IF(情景参数!E7="原表",驱动复算!W15,F225*情景参数!C7)</f>
        <v>329.068760554594</v>
      </c>
      <c r="I225" s="4" t="n">
        <f aca="false">IF(情景参数!E7="原表",驱动复算!U15,G225+H225)</f>
        <v>9925.67552761869</v>
      </c>
      <c r="J225" s="4" t="n">
        <f aca="false">(F225-I225)*(1-情景参数!F7)</f>
        <v>6527.76250011101</v>
      </c>
      <c r="K225" s="4" t="n">
        <f aca="false">偿债原表!F16</f>
        <v>1000</v>
      </c>
      <c r="L225" s="4" t="n">
        <f aca="false">偿债原表!G16</f>
        <v>673.2</v>
      </c>
      <c r="M225" s="4" t="n">
        <f aca="false">K225+L225</f>
        <v>1673.2</v>
      </c>
      <c r="N225" s="4" t="n">
        <f aca="false">J225-M225</f>
        <v>4854.56250011101</v>
      </c>
      <c r="O225" s="4" t="n">
        <f aca="false">O224+N225</f>
        <v>13955.2075148098</v>
      </c>
      <c r="P225" s="4" t="n">
        <f aca="false">MAX(0,-(R224+N225))</f>
        <v>0</v>
      </c>
      <c r="Q225" s="4" t="n">
        <f aca="false">Q224+P225</f>
        <v>6771.733296</v>
      </c>
      <c r="R225" s="4" t="n">
        <f aca="false">O225+Q225</f>
        <v>20726.9408108098</v>
      </c>
    </row>
    <row r="226" customFormat="false" ht="15" hidden="false" customHeight="false" outlineLevel="0" collapsed="false">
      <c r="A226" s="2" t="s">
        <v>45</v>
      </c>
      <c r="B226" s="2" t="s">
        <v>40</v>
      </c>
      <c r="C226" s="12" t="n">
        <v>15</v>
      </c>
      <c r="D226" s="12" t="n">
        <v>2038</v>
      </c>
      <c r="E226" s="4" t="n">
        <f aca="false">INDEX(驱动复算!A16:X16,1,情景参数!B7)</f>
        <v>16792.3004682843</v>
      </c>
      <c r="F226" s="4" t="n">
        <f aca="false">E226*(1-情景参数!D7)</f>
        <v>16792.3004682843</v>
      </c>
      <c r="G226" s="4" t="n">
        <f aca="false">IF(情景参数!E7="原表",驱动复算!U16-驱动复算!W16,驱动复算!P16)</f>
        <v>9884.50497007602</v>
      </c>
      <c r="H226" s="4" t="n">
        <f aca="false">IF(情景参数!E7="原表",驱动复算!W16,F226*情景参数!C7)</f>
        <v>335.846009365686</v>
      </c>
      <c r="I226" s="4" t="n">
        <f aca="false">IF(情景参数!E7="原表",驱动复算!U16,G226+H226)</f>
        <v>10220.3509794417</v>
      </c>
      <c r="J226" s="4" t="n">
        <f aca="false">(F226-I226)*(1-情景参数!F7)</f>
        <v>6571.94948884259</v>
      </c>
      <c r="K226" s="4" t="n">
        <f aca="false">偿债原表!F17</f>
        <v>0</v>
      </c>
      <c r="L226" s="4" t="n">
        <f aca="false">偿债原表!G17</f>
        <v>644</v>
      </c>
      <c r="M226" s="4" t="n">
        <f aca="false">K226+L226</f>
        <v>644</v>
      </c>
      <c r="N226" s="4" t="n">
        <f aca="false">J226-M226</f>
        <v>5927.94948884259</v>
      </c>
      <c r="O226" s="4" t="n">
        <f aca="false">O225+N226</f>
        <v>19883.1570036524</v>
      </c>
      <c r="P226" s="4" t="n">
        <f aca="false">MAX(0,-(R225+N226))</f>
        <v>0</v>
      </c>
      <c r="Q226" s="4" t="n">
        <f aca="false">Q225+P226</f>
        <v>6771.733296</v>
      </c>
      <c r="R226" s="4" t="n">
        <f aca="false">O226+Q226</f>
        <v>26654.8902996524</v>
      </c>
    </row>
    <row r="227" customFormat="false" ht="15" hidden="false" customHeight="false" outlineLevel="0" collapsed="false">
      <c r="A227" s="2" t="s">
        <v>45</v>
      </c>
      <c r="B227" s="2" t="s">
        <v>40</v>
      </c>
      <c r="C227" s="12" t="n">
        <v>16</v>
      </c>
      <c r="D227" s="12" t="n">
        <v>2039</v>
      </c>
      <c r="E227" s="4" t="n">
        <f aca="false">INDEX(驱动复算!A17:X17,1,情景参数!B7)</f>
        <v>17110.59844565</v>
      </c>
      <c r="F227" s="4" t="n">
        <f aca="false">E227*(1-情景参数!D7)</f>
        <v>17110.59844565</v>
      </c>
      <c r="G227" s="4" t="n">
        <f aca="false">IF(情景参数!E7="原表",驱动复算!U17-驱动复算!W17,驱动复算!P17)</f>
        <v>10181.0401191783</v>
      </c>
      <c r="H227" s="4" t="n">
        <f aca="false">IF(情景参数!E7="原表",驱动复算!W17,F227*情景参数!C7)</f>
        <v>342.211968913</v>
      </c>
      <c r="I227" s="4" t="n">
        <f aca="false">IF(情景参数!E7="原表",驱动复算!U17,G227+H227)</f>
        <v>10523.2520880913</v>
      </c>
      <c r="J227" s="4" t="n">
        <f aca="false">(F227-I227)*(1-情景参数!F7)</f>
        <v>6587.34635755868</v>
      </c>
      <c r="K227" s="4" t="n">
        <f aca="false">偿债原表!F18</f>
        <v>0</v>
      </c>
      <c r="L227" s="4" t="n">
        <f aca="false">偿债原表!G18</f>
        <v>644</v>
      </c>
      <c r="M227" s="4" t="n">
        <f aca="false">K227+L227</f>
        <v>644</v>
      </c>
      <c r="N227" s="4" t="n">
        <f aca="false">J227-M227</f>
        <v>5943.34635755868</v>
      </c>
      <c r="O227" s="4" t="n">
        <f aca="false">O226+N227</f>
        <v>25826.503361211</v>
      </c>
      <c r="P227" s="4" t="n">
        <f aca="false">MAX(0,-(R226+N227))</f>
        <v>0</v>
      </c>
      <c r="Q227" s="4" t="n">
        <f aca="false">Q226+P227</f>
        <v>6771.733296</v>
      </c>
      <c r="R227" s="4" t="n">
        <f aca="false">O227+Q227</f>
        <v>32598.236657211</v>
      </c>
    </row>
    <row r="228" customFormat="false" ht="15" hidden="false" customHeight="false" outlineLevel="0" collapsed="false">
      <c r="A228" s="2" t="s">
        <v>45</v>
      </c>
      <c r="B228" s="2" t="s">
        <v>40</v>
      </c>
      <c r="C228" s="12" t="n">
        <v>17</v>
      </c>
      <c r="D228" s="12" t="n">
        <v>2040</v>
      </c>
      <c r="E228" s="4" t="n">
        <f aca="false">INDEX(驱动复算!A18:X18,1,情景参数!B7)</f>
        <v>17435.262382563</v>
      </c>
      <c r="F228" s="4" t="n">
        <f aca="false">E228*(1-情景参数!D7)</f>
        <v>17435.262382563</v>
      </c>
      <c r="G228" s="4" t="n">
        <f aca="false">IF(情景参数!E7="原表",驱动复算!U18-驱动复算!W18,驱动复算!P18)</f>
        <v>10486.4713227536</v>
      </c>
      <c r="H228" s="4" t="n">
        <f aca="false">IF(情景参数!E7="原表",驱动复算!W18,F228*情景参数!C7)</f>
        <v>348.70524765126</v>
      </c>
      <c r="I228" s="4" t="n">
        <f aca="false">IF(情景参数!E7="原表",驱动复算!U18,G228+H228)</f>
        <v>10835.1765704049</v>
      </c>
      <c r="J228" s="4" t="n">
        <f aca="false">(F228-I228)*(1-情景参数!F7)</f>
        <v>6600.08581215807</v>
      </c>
      <c r="K228" s="4" t="n">
        <f aca="false">偿债原表!F19</f>
        <v>0</v>
      </c>
      <c r="L228" s="4" t="n">
        <f aca="false">偿债原表!G19</f>
        <v>644</v>
      </c>
      <c r="M228" s="4" t="n">
        <f aca="false">K228+L228</f>
        <v>644</v>
      </c>
      <c r="N228" s="4" t="n">
        <f aca="false">J228-M228</f>
        <v>5956.08581215807</v>
      </c>
      <c r="O228" s="4" t="n">
        <f aca="false">O227+N228</f>
        <v>31782.5891733691</v>
      </c>
      <c r="P228" s="4" t="n">
        <f aca="false">MAX(0,-(R227+N228))</f>
        <v>0</v>
      </c>
      <c r="Q228" s="4" t="n">
        <f aca="false">Q227+P228</f>
        <v>6771.733296</v>
      </c>
      <c r="R228" s="4" t="n">
        <f aca="false">O228+Q228</f>
        <v>38554.3224693691</v>
      </c>
    </row>
    <row r="229" customFormat="false" ht="15" hidden="false" customHeight="false" outlineLevel="0" collapsed="false">
      <c r="A229" s="2" t="s">
        <v>45</v>
      </c>
      <c r="B229" s="2" t="s">
        <v>40</v>
      </c>
      <c r="C229" s="12" t="n">
        <v>18</v>
      </c>
      <c r="D229" s="12" t="n">
        <v>2041</v>
      </c>
      <c r="E229" s="4" t="n">
        <f aca="false">INDEX(驱动复算!A19:X19,1,情景参数!B7)</f>
        <v>17766.4195982142</v>
      </c>
      <c r="F229" s="4" t="n">
        <f aca="false">E229*(1-情景参数!D7)</f>
        <v>17766.4195982142</v>
      </c>
      <c r="G229" s="4" t="n">
        <f aca="false">IF(情景参数!E7="原表",驱动复算!U19-驱动复算!W19,驱动复算!P19)</f>
        <v>10801.0654624363</v>
      </c>
      <c r="H229" s="4" t="n">
        <f aca="false">IF(情景参数!E7="原表",驱动复算!W19,F229*情景参数!C7)</f>
        <v>355.328391964285</v>
      </c>
      <c r="I229" s="4" t="n">
        <f aca="false">IF(情景参数!E7="原表",驱动复算!U19,G229+H229)</f>
        <v>11156.3938544005</v>
      </c>
      <c r="J229" s="4" t="n">
        <f aca="false">(F229-I229)*(1-情景参数!F7)</f>
        <v>6610.02574381369</v>
      </c>
      <c r="K229" s="4" t="n">
        <f aca="false">偿债原表!F20</f>
        <v>20000</v>
      </c>
      <c r="L229" s="4" t="n">
        <f aca="false">偿债原表!G20</f>
        <v>644</v>
      </c>
      <c r="M229" s="4" t="n">
        <f aca="false">K229+L229</f>
        <v>20644</v>
      </c>
      <c r="N229" s="4" t="n">
        <f aca="false">J229-M229</f>
        <v>-14033.9742561863</v>
      </c>
      <c r="O229" s="4" t="n">
        <f aca="false">O228+N229</f>
        <v>17748.6149171828</v>
      </c>
      <c r="P229" s="4" t="n">
        <f aca="false">MAX(0,-(R228+N229))</f>
        <v>0</v>
      </c>
      <c r="Q229" s="4" t="n">
        <f aca="false">Q228+P229</f>
        <v>6771.733296</v>
      </c>
      <c r="R229" s="4" t="n">
        <f aca="false">O229+Q229</f>
        <v>24520.3482131828</v>
      </c>
    </row>
    <row r="230" customFormat="false" ht="15" hidden="false" customHeight="false" outlineLevel="0" collapsed="false">
      <c r="A230" s="2" t="s">
        <v>46</v>
      </c>
      <c r="B230" s="2" t="s">
        <v>39</v>
      </c>
      <c r="C230" s="12" t="n">
        <v>0</v>
      </c>
      <c r="D230" s="13" t="s">
        <v>248</v>
      </c>
      <c r="E230" s="4" t="n">
        <f aca="false">0</f>
        <v>0</v>
      </c>
      <c r="F230" s="4" t="n">
        <f aca="false">E230*(1-情景参数!D8)</f>
        <v>0</v>
      </c>
      <c r="G230" s="4" t="n">
        <f aca="false">0</f>
        <v>0</v>
      </c>
      <c r="H230" s="4" t="n">
        <f aca="false">0</f>
        <v>0</v>
      </c>
      <c r="I230" s="4" t="n">
        <f aca="false">0</f>
        <v>0</v>
      </c>
      <c r="J230" s="4" t="n">
        <f aca="false">(F230-I230)*(1-情景参数!F8)</f>
        <v>0</v>
      </c>
      <c r="K230" s="4" t="n">
        <f aca="false">偿债原表!C2</f>
        <v>0</v>
      </c>
      <c r="L230" s="4" t="n">
        <f aca="false">偿债原表!D2</f>
        <v>1374.2</v>
      </c>
      <c r="M230" s="4" t="n">
        <f aca="false">K230+L230</f>
        <v>1374.2</v>
      </c>
      <c r="N230" s="4" t="n">
        <f aca="false">J230-M230</f>
        <v>-1374.2</v>
      </c>
      <c r="O230" s="4" t="n">
        <f aca="false">N230</f>
        <v>-1374.2</v>
      </c>
      <c r="P230" s="4" t="n">
        <f aca="false">MAX(0,-N230)</f>
        <v>1374.2</v>
      </c>
      <c r="Q230" s="4" t="n">
        <f aca="false">P230</f>
        <v>1374.2</v>
      </c>
      <c r="R230" s="4" t="n">
        <f aca="false">O230+Q230</f>
        <v>0</v>
      </c>
    </row>
    <row r="231" customFormat="false" ht="15" hidden="false" customHeight="false" outlineLevel="0" collapsed="false">
      <c r="A231" s="2" t="s">
        <v>46</v>
      </c>
      <c r="B231" s="2" t="s">
        <v>39</v>
      </c>
      <c r="C231" s="12" t="n">
        <v>1</v>
      </c>
      <c r="D231" s="12" t="n">
        <v>2024</v>
      </c>
      <c r="E231" s="4" t="n">
        <f aca="false">INDEX(驱动复算!A2:X2,1,情景参数!B8)</f>
        <v>0</v>
      </c>
      <c r="F231" s="4" t="n">
        <f aca="false">E231*(1-情景参数!D8)</f>
        <v>0</v>
      </c>
      <c r="G231" s="4" t="n">
        <f aca="false">IF(情景参数!E8="原表",驱动复算!U2-驱动复算!W2,驱动复算!P2)</f>
        <v>0</v>
      </c>
      <c r="H231" s="4" t="n">
        <f aca="false">IF(情景参数!E8="原表",驱动复算!W2,F231*情景参数!C8)</f>
        <v>0</v>
      </c>
      <c r="I231" s="4" t="n">
        <f aca="false">IF(情景参数!E8="原表",驱动复算!U2,G231+H231)</f>
        <v>0</v>
      </c>
      <c r="J231" s="4" t="n">
        <f aca="false">(F231-I231)*(1-情景参数!F8)</f>
        <v>0</v>
      </c>
      <c r="K231" s="4" t="n">
        <f aca="false">偿债原表!C3</f>
        <v>0</v>
      </c>
      <c r="L231" s="4" t="n">
        <f aca="false">偿债原表!D3</f>
        <v>1093.2</v>
      </c>
      <c r="M231" s="4" t="n">
        <f aca="false">K231+L231</f>
        <v>1093.2</v>
      </c>
      <c r="N231" s="4" t="n">
        <f aca="false">J231-M231</f>
        <v>-1093.2</v>
      </c>
      <c r="O231" s="4" t="n">
        <f aca="false">O230+N231</f>
        <v>-2467.4</v>
      </c>
      <c r="P231" s="4" t="n">
        <f aca="false">MAX(0,-(R230+N231))</f>
        <v>1093.2</v>
      </c>
      <c r="Q231" s="4" t="n">
        <f aca="false">Q230+P231</f>
        <v>2467.4</v>
      </c>
      <c r="R231" s="4" t="n">
        <f aca="false">O231+Q231</f>
        <v>0</v>
      </c>
    </row>
    <row r="232" customFormat="false" ht="15" hidden="false" customHeight="false" outlineLevel="0" collapsed="false">
      <c r="A232" s="2" t="s">
        <v>46</v>
      </c>
      <c r="B232" s="2" t="s">
        <v>39</v>
      </c>
      <c r="C232" s="12" t="n">
        <v>2</v>
      </c>
      <c r="D232" s="12" t="n">
        <v>2025</v>
      </c>
      <c r="E232" s="4" t="n">
        <f aca="false">INDEX(驱动复算!A3:X3,1,情景参数!B8)</f>
        <v>0</v>
      </c>
      <c r="F232" s="4" t="n">
        <f aca="false">E232*(1-情景参数!D8)</f>
        <v>0</v>
      </c>
      <c r="G232" s="4" t="n">
        <f aca="false">IF(情景参数!E8="原表",驱动复算!U3-驱动复算!W3,驱动复算!P3)</f>
        <v>0</v>
      </c>
      <c r="H232" s="4" t="n">
        <f aca="false">IF(情景参数!E8="原表",驱动复算!W3,F232*情景参数!C8)</f>
        <v>0</v>
      </c>
      <c r="I232" s="4" t="n">
        <f aca="false">IF(情景参数!E8="原表",驱动复算!U3,G232+H232)</f>
        <v>0</v>
      </c>
      <c r="J232" s="4" t="n">
        <f aca="false">(F232-I232)*(1-情景参数!F8)</f>
        <v>0</v>
      </c>
      <c r="K232" s="4" t="n">
        <f aca="false">偿债原表!C4</f>
        <v>0</v>
      </c>
      <c r="L232" s="4" t="n">
        <f aca="false">偿债原表!D4</f>
        <v>1093.2</v>
      </c>
      <c r="M232" s="4" t="n">
        <f aca="false">K232+L232</f>
        <v>1093.2</v>
      </c>
      <c r="N232" s="4" t="n">
        <f aca="false">J232-M232</f>
        <v>-1093.2</v>
      </c>
      <c r="O232" s="4" t="n">
        <f aca="false">O231+N232</f>
        <v>-3560.6</v>
      </c>
      <c r="P232" s="4" t="n">
        <f aca="false">MAX(0,-(R231+N232))</f>
        <v>1093.2</v>
      </c>
      <c r="Q232" s="4" t="n">
        <f aca="false">Q231+P232</f>
        <v>3560.6</v>
      </c>
      <c r="R232" s="4" t="n">
        <f aca="false">O232+Q232</f>
        <v>0</v>
      </c>
    </row>
    <row r="233" customFormat="false" ht="15" hidden="false" customHeight="false" outlineLevel="0" collapsed="false">
      <c r="A233" s="2" t="s">
        <v>46</v>
      </c>
      <c r="B233" s="2" t="s">
        <v>39</v>
      </c>
      <c r="C233" s="12" t="n">
        <v>3</v>
      </c>
      <c r="D233" s="12" t="n">
        <v>2026</v>
      </c>
      <c r="E233" s="4" t="n">
        <f aca="false">INDEX(驱动复算!A4:X4,1,情景参数!B8)</f>
        <v>0</v>
      </c>
      <c r="F233" s="4" t="n">
        <f aca="false">E233*(1-情景参数!D8)</f>
        <v>0</v>
      </c>
      <c r="G233" s="4" t="n">
        <f aca="false">IF(情景参数!E8="原表",驱动复算!U4-驱动复算!W4,驱动复算!P4)</f>
        <v>0</v>
      </c>
      <c r="H233" s="4" t="n">
        <f aca="false">IF(情景参数!E8="原表",驱动复算!W4,F233*情景参数!C8)</f>
        <v>0</v>
      </c>
      <c r="I233" s="4" t="n">
        <f aca="false">IF(情景参数!E8="原表",驱动复算!U4,G233+H233)</f>
        <v>0</v>
      </c>
      <c r="J233" s="4" t="n">
        <f aca="false">(F233-I233)*(1-情景参数!F8)</f>
        <v>0</v>
      </c>
      <c r="K233" s="4" t="n">
        <f aca="false">偿债原表!C5</f>
        <v>0</v>
      </c>
      <c r="L233" s="4" t="n">
        <f aca="false">偿债原表!D5</f>
        <v>1093.2</v>
      </c>
      <c r="M233" s="4" t="n">
        <f aca="false">K233+L233</f>
        <v>1093.2</v>
      </c>
      <c r="N233" s="4" t="n">
        <f aca="false">J233-M233</f>
        <v>-1093.2</v>
      </c>
      <c r="O233" s="4" t="n">
        <f aca="false">O232+N233</f>
        <v>-4653.8</v>
      </c>
      <c r="P233" s="4" t="n">
        <f aca="false">MAX(0,-(R232+N233))</f>
        <v>1093.2</v>
      </c>
      <c r="Q233" s="4" t="n">
        <f aca="false">Q232+P233</f>
        <v>4653.8</v>
      </c>
      <c r="R233" s="4" t="n">
        <f aca="false">O233+Q233</f>
        <v>0</v>
      </c>
    </row>
    <row r="234" customFormat="false" ht="15" hidden="false" customHeight="false" outlineLevel="0" collapsed="false">
      <c r="A234" s="2" t="s">
        <v>46</v>
      </c>
      <c r="B234" s="2" t="s">
        <v>39</v>
      </c>
      <c r="C234" s="12" t="n">
        <v>4</v>
      </c>
      <c r="D234" s="12" t="n">
        <v>2027</v>
      </c>
      <c r="E234" s="4" t="n">
        <f aca="false">INDEX(驱动复算!A5:X5,1,情景参数!B8)</f>
        <v>0</v>
      </c>
      <c r="F234" s="4" t="n">
        <f aca="false">E234*(1-情景参数!D8)</f>
        <v>0</v>
      </c>
      <c r="G234" s="4" t="n">
        <f aca="false">IF(情景参数!E8="原表",驱动复算!U5-驱动复算!W5,驱动复算!P5)</f>
        <v>0</v>
      </c>
      <c r="H234" s="4" t="n">
        <f aca="false">IF(情景参数!E8="原表",驱动复算!W5,F234*情景参数!C8)</f>
        <v>0</v>
      </c>
      <c r="I234" s="4" t="n">
        <f aca="false">IF(情景参数!E8="原表",驱动复算!U5,G234+H234)</f>
        <v>0</v>
      </c>
      <c r="J234" s="4" t="n">
        <f aca="false">(F234-I234)*(1-情景参数!F8)</f>
        <v>0</v>
      </c>
      <c r="K234" s="4" t="n">
        <f aca="false">偿债原表!C6</f>
        <v>0</v>
      </c>
      <c r="L234" s="4" t="n">
        <f aca="false">偿债原表!D6</f>
        <v>1093.2</v>
      </c>
      <c r="M234" s="4" t="n">
        <f aca="false">K234+L234</f>
        <v>1093.2</v>
      </c>
      <c r="N234" s="4" t="n">
        <f aca="false">J234-M234</f>
        <v>-1093.2</v>
      </c>
      <c r="O234" s="4" t="n">
        <f aca="false">O233+N234</f>
        <v>-5747</v>
      </c>
      <c r="P234" s="4" t="n">
        <f aca="false">MAX(0,-(R233+N234))</f>
        <v>1093.2</v>
      </c>
      <c r="Q234" s="4" t="n">
        <f aca="false">Q233+P234</f>
        <v>5747</v>
      </c>
      <c r="R234" s="4" t="n">
        <f aca="false">O234+Q234</f>
        <v>0</v>
      </c>
    </row>
    <row r="235" customFormat="false" ht="15" hidden="false" customHeight="false" outlineLevel="0" collapsed="false">
      <c r="A235" s="2" t="s">
        <v>46</v>
      </c>
      <c r="B235" s="2" t="s">
        <v>39</v>
      </c>
      <c r="C235" s="12" t="n">
        <v>5</v>
      </c>
      <c r="D235" s="12" t="n">
        <v>2028</v>
      </c>
      <c r="E235" s="4" t="n">
        <f aca="false">INDEX(驱动复算!A6:X6,1,情景参数!B8)</f>
        <v>9076.9048</v>
      </c>
      <c r="F235" s="4" t="n">
        <f aca="false">E235*(1-情景参数!D8)</f>
        <v>9076.9048</v>
      </c>
      <c r="G235" s="4" t="n">
        <f aca="false">IF(情景参数!E8="原表",驱动复算!U6-驱动复算!W6,驱动复算!P6)</f>
        <v>7355</v>
      </c>
      <c r="H235" s="4" t="n">
        <f aca="false">IF(情景参数!E8="原表",驱动复算!W6,F235*情景参数!C8)</f>
        <v>453.84524</v>
      </c>
      <c r="I235" s="4" t="n">
        <f aca="false">IF(情景参数!E8="原表",驱动复算!U6,G235+H235)</f>
        <v>7808.84524</v>
      </c>
      <c r="J235" s="4" t="n">
        <f aca="false">(F235-I235)*(1-情景参数!F8)</f>
        <v>1268.05956</v>
      </c>
      <c r="K235" s="4" t="n">
        <f aca="false">偿债原表!C7</f>
        <v>11000</v>
      </c>
      <c r="L235" s="4" t="n">
        <f aca="false">偿债原表!D7</f>
        <v>1093.2</v>
      </c>
      <c r="M235" s="4" t="n">
        <f aca="false">K235+L235</f>
        <v>12093.2</v>
      </c>
      <c r="N235" s="4" t="n">
        <f aca="false">J235-M235</f>
        <v>-10825.14044</v>
      </c>
      <c r="O235" s="4" t="n">
        <f aca="false">O234+N235</f>
        <v>-16572.14044</v>
      </c>
      <c r="P235" s="4" t="n">
        <f aca="false">MAX(0,-(R234+N235))</f>
        <v>10825.14044</v>
      </c>
      <c r="Q235" s="4" t="n">
        <f aca="false">Q234+P235</f>
        <v>16572.14044</v>
      </c>
      <c r="R235" s="4" t="n">
        <f aca="false">O235+Q235</f>
        <v>0</v>
      </c>
    </row>
    <row r="236" customFormat="false" ht="15" hidden="false" customHeight="false" outlineLevel="0" collapsed="false">
      <c r="A236" s="2" t="s">
        <v>46</v>
      </c>
      <c r="B236" s="2" t="s">
        <v>39</v>
      </c>
      <c r="C236" s="12" t="n">
        <v>6</v>
      </c>
      <c r="D236" s="12" t="n">
        <v>2029</v>
      </c>
      <c r="E236" s="4" t="n">
        <f aca="false">INDEX(驱动复算!A7:X7,1,情景参数!B8)</f>
        <v>9911.9048</v>
      </c>
      <c r="F236" s="4" t="n">
        <f aca="false">E236*(1-情景参数!D8)</f>
        <v>9911.9048</v>
      </c>
      <c r="G236" s="4" t="n">
        <f aca="false">IF(情景参数!E8="原表",驱动复算!U7-驱动复算!W7,驱动复算!P7)</f>
        <v>7575.65</v>
      </c>
      <c r="H236" s="4" t="n">
        <f aca="false">IF(情景参数!E8="原表",驱动复算!W7,F236*情景参数!C8)</f>
        <v>495.59524</v>
      </c>
      <c r="I236" s="4" t="n">
        <f aca="false">IF(情景参数!E8="原表",驱动复算!U7,G236+H236)</f>
        <v>8071.24524</v>
      </c>
      <c r="J236" s="4" t="n">
        <f aca="false">(F236-I236)*(1-情景参数!F8)</f>
        <v>1840.65956</v>
      </c>
      <c r="K236" s="4" t="n">
        <f aca="false">偿债原表!C8</f>
        <v>0</v>
      </c>
      <c r="L236" s="4" t="n">
        <f aca="false">偿债原表!D8</f>
        <v>730.2</v>
      </c>
      <c r="M236" s="4" t="n">
        <f aca="false">K236+L236</f>
        <v>730.2</v>
      </c>
      <c r="N236" s="4" t="n">
        <f aca="false">J236-M236</f>
        <v>1110.45956</v>
      </c>
      <c r="O236" s="4" t="n">
        <f aca="false">O235+N236</f>
        <v>-15461.68088</v>
      </c>
      <c r="P236" s="4" t="n">
        <f aca="false">MAX(0,-(R235+N236))</f>
        <v>0</v>
      </c>
      <c r="Q236" s="4" t="n">
        <f aca="false">Q235+P236</f>
        <v>16572.14044</v>
      </c>
      <c r="R236" s="4" t="n">
        <f aca="false">O236+Q236</f>
        <v>1110.45956</v>
      </c>
    </row>
    <row r="237" customFormat="false" ht="15" hidden="false" customHeight="false" outlineLevel="0" collapsed="false">
      <c r="A237" s="2" t="s">
        <v>46</v>
      </c>
      <c r="B237" s="2" t="s">
        <v>39</v>
      </c>
      <c r="C237" s="12" t="n">
        <v>7</v>
      </c>
      <c r="D237" s="12" t="n">
        <v>2030</v>
      </c>
      <c r="E237" s="4" t="n">
        <f aca="false">INDEX(驱动复算!A8:X8,1,情景参数!B8)</f>
        <v>10830.4048</v>
      </c>
      <c r="F237" s="4" t="n">
        <f aca="false">E237*(1-情景参数!D8)</f>
        <v>10830.4048</v>
      </c>
      <c r="G237" s="4" t="n">
        <f aca="false">IF(情景参数!E8="原表",驱动复算!U8-驱动复算!W8,驱动复算!P8)</f>
        <v>7802.9195</v>
      </c>
      <c r="H237" s="4" t="n">
        <f aca="false">IF(情景参数!E8="原表",驱动复算!W8,F237*情景参数!C8)</f>
        <v>541.52024</v>
      </c>
      <c r="I237" s="4" t="n">
        <f aca="false">IF(情景参数!E8="原表",驱动复算!U8,G237+H237)</f>
        <v>8344.43974</v>
      </c>
      <c r="J237" s="4" t="n">
        <f aca="false">(F237-I237)*(1-情景参数!F8)</f>
        <v>2485.96506</v>
      </c>
      <c r="K237" s="4" t="n">
        <f aca="false">偿债原表!C9</f>
        <v>0</v>
      </c>
      <c r="L237" s="4" t="n">
        <f aca="false">偿债原表!D9</f>
        <v>730.2</v>
      </c>
      <c r="M237" s="4" t="n">
        <f aca="false">K237+L237</f>
        <v>730.2</v>
      </c>
      <c r="N237" s="4" t="n">
        <f aca="false">J237-M237</f>
        <v>1755.76506</v>
      </c>
      <c r="O237" s="4" t="n">
        <f aca="false">O236+N237</f>
        <v>-13705.91582</v>
      </c>
      <c r="P237" s="4" t="n">
        <f aca="false">MAX(0,-(R236+N237))</f>
        <v>0</v>
      </c>
      <c r="Q237" s="4" t="n">
        <f aca="false">Q236+P237</f>
        <v>16572.14044</v>
      </c>
      <c r="R237" s="4" t="n">
        <f aca="false">O237+Q237</f>
        <v>2866.22462</v>
      </c>
    </row>
    <row r="238" customFormat="false" ht="15" hidden="false" customHeight="false" outlineLevel="0" collapsed="false">
      <c r="A238" s="2" t="s">
        <v>46</v>
      </c>
      <c r="B238" s="2" t="s">
        <v>39</v>
      </c>
      <c r="C238" s="12" t="n">
        <v>8</v>
      </c>
      <c r="D238" s="12" t="n">
        <v>2031</v>
      </c>
      <c r="E238" s="4" t="n">
        <f aca="false">INDEX(驱动复算!A9:X9,1,情景参数!B8)</f>
        <v>11840.7548</v>
      </c>
      <c r="F238" s="4" t="n">
        <f aca="false">E238*(1-情景参数!D8)</f>
        <v>11840.7548</v>
      </c>
      <c r="G238" s="4" t="n">
        <f aca="false">IF(情景参数!E8="原表",驱动复算!U9-驱动复算!W9,驱动复算!P9)</f>
        <v>8037.007085</v>
      </c>
      <c r="H238" s="4" t="n">
        <f aca="false">IF(情景参数!E8="原表",驱动复算!W9,F238*情景参数!C8)</f>
        <v>592.03774</v>
      </c>
      <c r="I238" s="4" t="n">
        <f aca="false">IF(情景参数!E8="原表",驱动复算!U9,G238+H238)</f>
        <v>8629.044825</v>
      </c>
      <c r="J238" s="4" t="n">
        <f aca="false">(F238-I238)*(1-情景参数!F8)</f>
        <v>3211.709975</v>
      </c>
      <c r="K238" s="4" t="n">
        <f aca="false">偿债原表!C10</f>
        <v>0</v>
      </c>
      <c r="L238" s="4" t="n">
        <f aca="false">偿债原表!D10</f>
        <v>730.2</v>
      </c>
      <c r="M238" s="4" t="n">
        <f aca="false">K238+L238</f>
        <v>730.2</v>
      </c>
      <c r="N238" s="4" t="n">
        <f aca="false">J238-M238</f>
        <v>2481.509975</v>
      </c>
      <c r="O238" s="4" t="n">
        <f aca="false">O237+N238</f>
        <v>-11224.405845</v>
      </c>
      <c r="P238" s="4" t="n">
        <f aca="false">MAX(0,-(R237+N238))</f>
        <v>0</v>
      </c>
      <c r="Q238" s="4" t="n">
        <f aca="false">Q237+P238</f>
        <v>16572.14044</v>
      </c>
      <c r="R238" s="4" t="n">
        <f aca="false">O238+Q238</f>
        <v>5347.734595</v>
      </c>
    </row>
    <row r="239" customFormat="false" ht="15" hidden="false" customHeight="false" outlineLevel="0" collapsed="false">
      <c r="A239" s="2" t="s">
        <v>46</v>
      </c>
      <c r="B239" s="2" t="s">
        <v>39</v>
      </c>
      <c r="C239" s="12" t="n">
        <v>9</v>
      </c>
      <c r="D239" s="12" t="n">
        <v>2032</v>
      </c>
      <c r="E239" s="4" t="n">
        <f aca="false">INDEX(驱动复算!A10:X10,1,情景参数!B8)</f>
        <v>12952.1398</v>
      </c>
      <c r="F239" s="4" t="n">
        <f aca="false">E239*(1-情景参数!D8)</f>
        <v>12952.1398</v>
      </c>
      <c r="G239" s="4" t="n">
        <f aca="false">IF(情景参数!E8="原表",驱动复算!U10-驱动复算!W10,驱动复算!P10)</f>
        <v>8278.11729755</v>
      </c>
      <c r="H239" s="4" t="n">
        <f aca="false">IF(情景参数!E8="原表",驱动复算!W10,F239*情景参数!C8)</f>
        <v>647.60699</v>
      </c>
      <c r="I239" s="4" t="n">
        <f aca="false">IF(情景参数!E8="原表",驱动复算!U10,G239+H239)</f>
        <v>8925.72428755</v>
      </c>
      <c r="J239" s="4" t="n">
        <f aca="false">(F239-I239)*(1-情景参数!F8)</f>
        <v>4026.41551245</v>
      </c>
      <c r="K239" s="4" t="n">
        <f aca="false">偿债原表!C11</f>
        <v>2000</v>
      </c>
      <c r="L239" s="4" t="n">
        <f aca="false">偿债原表!D11</f>
        <v>730.2</v>
      </c>
      <c r="M239" s="4" t="n">
        <f aca="false">K239+L239</f>
        <v>2730.2</v>
      </c>
      <c r="N239" s="4" t="n">
        <f aca="false">J239-M239</f>
        <v>1296.21551245</v>
      </c>
      <c r="O239" s="4" t="n">
        <f aca="false">O238+N239</f>
        <v>-9928.19033255</v>
      </c>
      <c r="P239" s="4" t="n">
        <f aca="false">MAX(0,-(R238+N239))</f>
        <v>0</v>
      </c>
      <c r="Q239" s="4" t="n">
        <f aca="false">Q238+P239</f>
        <v>16572.14044</v>
      </c>
      <c r="R239" s="4" t="n">
        <f aca="false">O239+Q239</f>
        <v>6643.95010745</v>
      </c>
    </row>
    <row r="240" customFormat="false" ht="15" hidden="false" customHeight="false" outlineLevel="0" collapsed="false">
      <c r="A240" s="2" t="s">
        <v>46</v>
      </c>
      <c r="B240" s="2" t="s">
        <v>39</v>
      </c>
      <c r="C240" s="12" t="n">
        <v>10</v>
      </c>
      <c r="D240" s="12" t="n">
        <v>2033</v>
      </c>
      <c r="E240" s="4" t="n">
        <f aca="false">INDEX(驱动复算!A11:X11,1,情景参数!B8)</f>
        <v>13687.09275</v>
      </c>
      <c r="F240" s="4" t="n">
        <f aca="false">E240*(1-情景参数!D8)</f>
        <v>13687.09275</v>
      </c>
      <c r="G240" s="4" t="n">
        <f aca="false">IF(情景参数!E8="原表",驱动复算!U11-驱动复算!W11,驱动复算!P11)</f>
        <v>8526.4608164765</v>
      </c>
      <c r="H240" s="4" t="n">
        <f aca="false">IF(情景参数!E8="原表",驱动复算!W11,F240*情景参数!C8)</f>
        <v>684.3546375</v>
      </c>
      <c r="I240" s="4" t="n">
        <f aca="false">IF(情景参数!E8="原表",驱动复算!U11,G240+H240)</f>
        <v>9210.8154539765</v>
      </c>
      <c r="J240" s="4" t="n">
        <f aca="false">(F240-I240)*(1-情景参数!F8)</f>
        <v>4476.2772960235</v>
      </c>
      <c r="K240" s="4" t="n">
        <f aca="false">偿债原表!C12</f>
        <v>0</v>
      </c>
      <c r="L240" s="4" t="n">
        <f aca="false">偿债原表!D12</f>
        <v>673.2</v>
      </c>
      <c r="M240" s="4" t="n">
        <f aca="false">K240+L240</f>
        <v>673.2</v>
      </c>
      <c r="N240" s="4" t="n">
        <f aca="false">J240-M240</f>
        <v>3803.0772960235</v>
      </c>
      <c r="O240" s="4" t="n">
        <f aca="false">O239+N240</f>
        <v>-6125.1130365265</v>
      </c>
      <c r="P240" s="4" t="n">
        <f aca="false">MAX(0,-(R239+N240))</f>
        <v>0</v>
      </c>
      <c r="Q240" s="4" t="n">
        <f aca="false">Q239+P240</f>
        <v>16572.14044</v>
      </c>
      <c r="R240" s="4" t="n">
        <f aca="false">O240+Q240</f>
        <v>10447.0274034735</v>
      </c>
    </row>
    <row r="241" customFormat="false" ht="15" hidden="false" customHeight="false" outlineLevel="0" collapsed="false">
      <c r="A241" s="2" t="s">
        <v>46</v>
      </c>
      <c r="B241" s="2" t="s">
        <v>39</v>
      </c>
      <c r="C241" s="12" t="n">
        <v>11</v>
      </c>
      <c r="D241" s="12" t="n">
        <v>2034</v>
      </c>
      <c r="E241" s="4" t="n">
        <f aca="false">INDEX(驱动复算!A12:X12,1,情景参数!B8)</f>
        <v>14328.9175875</v>
      </c>
      <c r="F241" s="4" t="n">
        <f aca="false">E241*(1-情景参数!D8)</f>
        <v>14328.9175875</v>
      </c>
      <c r="G241" s="4" t="n">
        <f aca="false">IF(情景参数!E8="原表",驱动复算!U12-驱动复算!W12,驱动复算!P12)</f>
        <v>8782.2546409708</v>
      </c>
      <c r="H241" s="4" t="n">
        <f aca="false">IF(情景参数!E8="原表",驱动复算!W12,F241*情景参数!C8)</f>
        <v>716.445879375001</v>
      </c>
      <c r="I241" s="4" t="n">
        <f aca="false">IF(情景参数!E8="原表",驱动复算!U12,G241+H241)</f>
        <v>9498.7005203458</v>
      </c>
      <c r="J241" s="4" t="n">
        <f aca="false">(F241-I241)*(1-情景参数!F8)</f>
        <v>4830.21706715421</v>
      </c>
      <c r="K241" s="4" t="n">
        <f aca="false">偿债原表!C13</f>
        <v>0</v>
      </c>
      <c r="L241" s="4" t="n">
        <f aca="false">偿债原表!D13</f>
        <v>673.2</v>
      </c>
      <c r="M241" s="4" t="n">
        <f aca="false">K241+L241</f>
        <v>673.2</v>
      </c>
      <c r="N241" s="4" t="n">
        <f aca="false">J241-M241</f>
        <v>4157.01706715421</v>
      </c>
      <c r="O241" s="4" t="n">
        <f aca="false">O240+N241</f>
        <v>-1968.09596937229</v>
      </c>
      <c r="P241" s="4" t="n">
        <f aca="false">MAX(0,-(R240+N241))</f>
        <v>0</v>
      </c>
      <c r="Q241" s="4" t="n">
        <f aca="false">Q240+P241</f>
        <v>16572.14044</v>
      </c>
      <c r="R241" s="4" t="n">
        <f aca="false">O241+Q241</f>
        <v>14604.0444706277</v>
      </c>
    </row>
    <row r="242" customFormat="false" ht="15" hidden="false" customHeight="false" outlineLevel="0" collapsed="false">
      <c r="A242" s="2" t="s">
        <v>46</v>
      </c>
      <c r="B242" s="2" t="s">
        <v>39</v>
      </c>
      <c r="C242" s="12" t="n">
        <v>12</v>
      </c>
      <c r="D242" s="12" t="n">
        <v>2035</v>
      </c>
      <c r="E242" s="4" t="n">
        <f aca="false">INDEX(驱动复算!A13:X13,1,情景参数!B8)</f>
        <v>15002.833666875</v>
      </c>
      <c r="F242" s="4" t="n">
        <f aca="false">E242*(1-情景参数!D8)</f>
        <v>15002.833666875</v>
      </c>
      <c r="G242" s="4" t="n">
        <f aca="false">IF(情景参数!E8="原表",驱动复算!U13-驱动复算!W13,驱动复算!P13)</f>
        <v>9045.72228019992</v>
      </c>
      <c r="H242" s="4" t="n">
        <f aca="false">IF(情景参数!E8="原表",驱动复算!W13,F242*情景参数!C8)</f>
        <v>750.14168334375</v>
      </c>
      <c r="I242" s="4" t="n">
        <f aca="false">IF(情景参数!E8="原表",驱动复算!U13,G242+H242)</f>
        <v>9795.86396354367</v>
      </c>
      <c r="J242" s="4" t="n">
        <f aca="false">(F242-I242)*(1-情景参数!F8)</f>
        <v>5206.96970333134</v>
      </c>
      <c r="K242" s="4" t="n">
        <f aca="false">偿债原表!C14</f>
        <v>0</v>
      </c>
      <c r="L242" s="4" t="n">
        <f aca="false">偿债原表!D14</f>
        <v>673.2</v>
      </c>
      <c r="M242" s="4" t="n">
        <f aca="false">K242+L242</f>
        <v>673.2</v>
      </c>
      <c r="N242" s="4" t="n">
        <f aca="false">J242-M242</f>
        <v>4533.76970333134</v>
      </c>
      <c r="O242" s="4" t="n">
        <f aca="false">O241+N242</f>
        <v>2565.67373395905</v>
      </c>
      <c r="P242" s="4" t="n">
        <f aca="false">MAX(0,-(R241+N242))</f>
        <v>0</v>
      </c>
      <c r="Q242" s="4" t="n">
        <f aca="false">Q241+P242</f>
        <v>16572.14044</v>
      </c>
      <c r="R242" s="4" t="n">
        <f aca="false">O242+Q242</f>
        <v>19137.8141739591</v>
      </c>
    </row>
    <row r="243" customFormat="false" ht="15" hidden="false" customHeight="false" outlineLevel="0" collapsed="false">
      <c r="A243" s="2" t="s">
        <v>46</v>
      </c>
      <c r="B243" s="2" t="s">
        <v>39</v>
      </c>
      <c r="C243" s="12" t="n">
        <v>13</v>
      </c>
      <c r="D243" s="12" t="n">
        <v>2036</v>
      </c>
      <c r="E243" s="4" t="n">
        <f aca="false">INDEX(驱动复算!A14:X14,1,情景参数!B8)</f>
        <v>15710.4455502188</v>
      </c>
      <c r="F243" s="4" t="n">
        <f aca="false">E243*(1-情景参数!D8)</f>
        <v>15710.4455502188</v>
      </c>
      <c r="G243" s="4" t="n">
        <f aca="false">IF(情景参数!E8="原表",驱动复算!U14-驱动复算!W14,驱动复算!P14)</f>
        <v>9317.09394860592</v>
      </c>
      <c r="H243" s="4" t="n">
        <f aca="false">IF(情景参数!E8="原表",驱动复算!W14,F243*情景参数!C8)</f>
        <v>785.522277510938</v>
      </c>
      <c r="I243" s="4" t="n">
        <f aca="false">IF(情景参数!E8="原表",驱动复算!U14,G243+H243)</f>
        <v>10102.6162261169</v>
      </c>
      <c r="J243" s="4" t="n">
        <f aca="false">(F243-I243)*(1-情景参数!F8)</f>
        <v>5607.8293241019</v>
      </c>
      <c r="K243" s="4" t="n">
        <f aca="false">偿债原表!C15</f>
        <v>0</v>
      </c>
      <c r="L243" s="4" t="n">
        <f aca="false">偿债原表!D15</f>
        <v>673.2</v>
      </c>
      <c r="M243" s="4" t="n">
        <f aca="false">K243+L243</f>
        <v>673.2</v>
      </c>
      <c r="N243" s="4" t="n">
        <f aca="false">J243-M243</f>
        <v>4934.6293241019</v>
      </c>
      <c r="O243" s="4" t="n">
        <f aca="false">O242+N243</f>
        <v>7500.30305806095</v>
      </c>
      <c r="P243" s="4" t="n">
        <f aca="false">MAX(0,-(R242+N243))</f>
        <v>0</v>
      </c>
      <c r="Q243" s="4" t="n">
        <f aca="false">Q242+P243</f>
        <v>16572.14044</v>
      </c>
      <c r="R243" s="4" t="n">
        <f aca="false">O243+Q243</f>
        <v>24072.443498061</v>
      </c>
    </row>
    <row r="244" customFormat="false" ht="15" hidden="false" customHeight="false" outlineLevel="0" collapsed="false">
      <c r="A244" s="2" t="s">
        <v>46</v>
      </c>
      <c r="B244" s="2" t="s">
        <v>39</v>
      </c>
      <c r="C244" s="12" t="n">
        <v>14</v>
      </c>
      <c r="D244" s="12" t="n">
        <v>2037</v>
      </c>
      <c r="E244" s="4" t="n">
        <f aca="false">INDEX(驱动复算!A15:X15,1,情景参数!B8)</f>
        <v>16453.4380277297</v>
      </c>
      <c r="F244" s="4" t="n">
        <f aca="false">E244*(1-情景参数!D8)</f>
        <v>16453.4380277297</v>
      </c>
      <c r="G244" s="4" t="n">
        <f aca="false">IF(情景参数!E8="原表",驱动复算!U15-驱动复算!W15,驱动复算!P15)</f>
        <v>9596.6067670641</v>
      </c>
      <c r="H244" s="4" t="n">
        <f aca="false">IF(情景参数!E8="原表",驱动复算!W15,F244*情景参数!C8)</f>
        <v>822.671901386485</v>
      </c>
      <c r="I244" s="4" t="n">
        <f aca="false">IF(情景参数!E8="原表",驱动复算!U15,G244+H244)</f>
        <v>10419.2786684506</v>
      </c>
      <c r="J244" s="4" t="n">
        <f aca="false">(F244-I244)*(1-情景参数!F8)</f>
        <v>6034.15935927912</v>
      </c>
      <c r="K244" s="4" t="n">
        <f aca="false">偿债原表!C16</f>
        <v>1000</v>
      </c>
      <c r="L244" s="4" t="n">
        <f aca="false">偿债原表!D16</f>
        <v>673.2</v>
      </c>
      <c r="M244" s="4" t="n">
        <f aca="false">K244+L244</f>
        <v>1673.2</v>
      </c>
      <c r="N244" s="4" t="n">
        <f aca="false">J244-M244</f>
        <v>4360.95935927912</v>
      </c>
      <c r="O244" s="4" t="n">
        <f aca="false">O243+N244</f>
        <v>11861.2624173401</v>
      </c>
      <c r="P244" s="4" t="n">
        <f aca="false">MAX(0,-(R243+N244))</f>
        <v>0</v>
      </c>
      <c r="Q244" s="4" t="n">
        <f aca="false">Q243+P244</f>
        <v>16572.14044</v>
      </c>
      <c r="R244" s="4" t="n">
        <f aca="false">O244+Q244</f>
        <v>28433.4028573401</v>
      </c>
    </row>
    <row r="245" customFormat="false" ht="15" hidden="false" customHeight="false" outlineLevel="0" collapsed="false">
      <c r="A245" s="2" t="s">
        <v>46</v>
      </c>
      <c r="B245" s="2" t="s">
        <v>39</v>
      </c>
      <c r="C245" s="12" t="n">
        <v>15</v>
      </c>
      <c r="D245" s="12" t="n">
        <v>2038</v>
      </c>
      <c r="E245" s="4" t="n">
        <f aca="false">INDEX(驱动复算!A16:X16,1,情景参数!B8)</f>
        <v>16792.3004682843</v>
      </c>
      <c r="F245" s="4" t="n">
        <f aca="false">E245*(1-情景参数!D8)</f>
        <v>16792.3004682843</v>
      </c>
      <c r="G245" s="4" t="n">
        <f aca="false">IF(情景参数!E8="原表",驱动复算!U16-驱动复算!W16,驱动复算!P16)</f>
        <v>9884.50497007602</v>
      </c>
      <c r="H245" s="4" t="n">
        <f aca="false">IF(情景参数!E8="原表",驱动复算!W16,F245*情景参数!C8)</f>
        <v>839.615023414215</v>
      </c>
      <c r="I245" s="4" t="n">
        <f aca="false">IF(情景参数!E8="原表",驱动复算!U16,G245+H245)</f>
        <v>10724.1199934902</v>
      </c>
      <c r="J245" s="4" t="n">
        <f aca="false">(F245-I245)*(1-情景参数!F8)</f>
        <v>6068.18047479406</v>
      </c>
      <c r="K245" s="4" t="n">
        <f aca="false">偿债原表!C17</f>
        <v>0</v>
      </c>
      <c r="L245" s="4" t="n">
        <f aca="false">偿债原表!D17</f>
        <v>644</v>
      </c>
      <c r="M245" s="4" t="n">
        <f aca="false">K245+L245</f>
        <v>644</v>
      </c>
      <c r="N245" s="4" t="n">
        <f aca="false">J245-M245</f>
        <v>5424.18047479406</v>
      </c>
      <c r="O245" s="4" t="n">
        <f aca="false">O244+N245</f>
        <v>17285.4428921341</v>
      </c>
      <c r="P245" s="4" t="n">
        <f aca="false">MAX(0,-(R244+N245))</f>
        <v>0</v>
      </c>
      <c r="Q245" s="4" t="n">
        <f aca="false">Q244+P245</f>
        <v>16572.14044</v>
      </c>
      <c r="R245" s="4" t="n">
        <f aca="false">O245+Q245</f>
        <v>33857.5833321341</v>
      </c>
    </row>
    <row r="246" customFormat="false" ht="15" hidden="false" customHeight="false" outlineLevel="0" collapsed="false">
      <c r="A246" s="2" t="s">
        <v>46</v>
      </c>
      <c r="B246" s="2" t="s">
        <v>39</v>
      </c>
      <c r="C246" s="12" t="n">
        <v>16</v>
      </c>
      <c r="D246" s="12" t="n">
        <v>2039</v>
      </c>
      <c r="E246" s="4" t="n">
        <f aca="false">INDEX(驱动复算!A17:X17,1,情景参数!B8)</f>
        <v>17110.59844565</v>
      </c>
      <c r="F246" s="4" t="n">
        <f aca="false">E246*(1-情景参数!D8)</f>
        <v>17110.59844565</v>
      </c>
      <c r="G246" s="4" t="n">
        <f aca="false">IF(情景参数!E8="原表",驱动复算!U17-驱动复算!W17,驱动复算!P17)</f>
        <v>10181.0401191783</v>
      </c>
      <c r="H246" s="4" t="n">
        <f aca="false">IF(情景参数!E8="原表",驱动复算!W17,F246*情景参数!C8)</f>
        <v>855.529922282499</v>
      </c>
      <c r="I246" s="4" t="n">
        <f aca="false">IF(情景参数!E8="原表",驱动复算!U17,G246+H246)</f>
        <v>11036.5700414608</v>
      </c>
      <c r="J246" s="4" t="n">
        <f aca="false">(F246-I246)*(1-情景参数!F8)</f>
        <v>6074.02840418918</v>
      </c>
      <c r="K246" s="4" t="n">
        <f aca="false">偿债原表!C18</f>
        <v>0</v>
      </c>
      <c r="L246" s="4" t="n">
        <f aca="false">偿债原表!D18</f>
        <v>644</v>
      </c>
      <c r="M246" s="4" t="n">
        <f aca="false">K246+L246</f>
        <v>644</v>
      </c>
      <c r="N246" s="4" t="n">
        <f aca="false">J246-M246</f>
        <v>5430.02840418918</v>
      </c>
      <c r="O246" s="4" t="n">
        <f aca="false">O245+N246</f>
        <v>22715.4712963233</v>
      </c>
      <c r="P246" s="4" t="n">
        <f aca="false">MAX(0,-(R245+N246))</f>
        <v>0</v>
      </c>
      <c r="Q246" s="4" t="n">
        <f aca="false">Q245+P246</f>
        <v>16572.14044</v>
      </c>
      <c r="R246" s="4" t="n">
        <f aca="false">O246+Q246</f>
        <v>39287.6117363233</v>
      </c>
    </row>
    <row r="247" customFormat="false" ht="15" hidden="false" customHeight="false" outlineLevel="0" collapsed="false">
      <c r="A247" s="2" t="s">
        <v>46</v>
      </c>
      <c r="B247" s="2" t="s">
        <v>39</v>
      </c>
      <c r="C247" s="12" t="n">
        <v>17</v>
      </c>
      <c r="D247" s="12" t="n">
        <v>2040</v>
      </c>
      <c r="E247" s="4" t="n">
        <f aca="false">INDEX(驱动复算!A18:X18,1,情景参数!B8)</f>
        <v>17435.262382563</v>
      </c>
      <c r="F247" s="4" t="n">
        <f aca="false">E247*(1-情景参数!D8)</f>
        <v>17435.262382563</v>
      </c>
      <c r="G247" s="4" t="n">
        <f aca="false">IF(情景参数!E8="原表",驱动复算!U18-驱动复算!W18,驱动复算!P18)</f>
        <v>10486.4713227536</v>
      </c>
      <c r="H247" s="4" t="n">
        <f aca="false">IF(情景参数!E8="原表",驱动复算!W18,F247*情景参数!C8)</f>
        <v>871.763119128149</v>
      </c>
      <c r="I247" s="4" t="n">
        <f aca="false">IF(情景参数!E8="原表",驱动复算!U18,G247+H247)</f>
        <v>11358.2344418818</v>
      </c>
      <c r="J247" s="4" t="n">
        <f aca="false">(F247-I247)*(1-情景参数!F8)</f>
        <v>6077.02794068118</v>
      </c>
      <c r="K247" s="4" t="n">
        <f aca="false">偿债原表!C19</f>
        <v>0</v>
      </c>
      <c r="L247" s="4" t="n">
        <f aca="false">偿债原表!D19</f>
        <v>644</v>
      </c>
      <c r="M247" s="4" t="n">
        <f aca="false">K247+L247</f>
        <v>644</v>
      </c>
      <c r="N247" s="4" t="n">
        <f aca="false">J247-M247</f>
        <v>5433.02794068118</v>
      </c>
      <c r="O247" s="4" t="n">
        <f aca="false">O246+N247</f>
        <v>28148.4992370045</v>
      </c>
      <c r="P247" s="4" t="n">
        <f aca="false">MAX(0,-(R246+N247))</f>
        <v>0</v>
      </c>
      <c r="Q247" s="4" t="n">
        <f aca="false">Q246+P247</f>
        <v>16572.14044</v>
      </c>
      <c r="R247" s="4" t="n">
        <f aca="false">O247+Q247</f>
        <v>44720.6396770045</v>
      </c>
    </row>
    <row r="248" customFormat="false" ht="15" hidden="false" customHeight="false" outlineLevel="0" collapsed="false">
      <c r="A248" s="2" t="s">
        <v>46</v>
      </c>
      <c r="B248" s="2" t="s">
        <v>39</v>
      </c>
      <c r="C248" s="12" t="n">
        <v>18</v>
      </c>
      <c r="D248" s="12" t="n">
        <v>2041</v>
      </c>
      <c r="E248" s="4" t="n">
        <f aca="false">INDEX(驱动复算!A19:X19,1,情景参数!B8)</f>
        <v>17766.4195982142</v>
      </c>
      <c r="F248" s="4" t="n">
        <f aca="false">E248*(1-情景参数!D8)</f>
        <v>17766.4195982142</v>
      </c>
      <c r="G248" s="4" t="n">
        <f aca="false">IF(情景参数!E8="原表",驱动复算!U19-驱动复算!W19,驱动复算!P19)</f>
        <v>10801.0654624363</v>
      </c>
      <c r="H248" s="4" t="n">
        <f aca="false">IF(情景参数!E8="原表",驱动复算!W19,F248*情景参数!C8)</f>
        <v>888.320979910712</v>
      </c>
      <c r="I248" s="4" t="n">
        <f aca="false">IF(情景参数!E8="原表",驱动复算!U19,G248+H248)</f>
        <v>11689.386442347</v>
      </c>
      <c r="J248" s="4" t="n">
        <f aca="false">(F248-I248)*(1-情景参数!F8)</f>
        <v>6077.03315586727</v>
      </c>
      <c r="K248" s="4" t="n">
        <f aca="false">偿债原表!C20</f>
        <v>20000</v>
      </c>
      <c r="L248" s="4" t="n">
        <f aca="false">偿债原表!D20</f>
        <v>644</v>
      </c>
      <c r="M248" s="4" t="n">
        <f aca="false">K248+L248</f>
        <v>20644</v>
      </c>
      <c r="N248" s="4" t="n">
        <f aca="false">J248-M248</f>
        <v>-14566.9668441327</v>
      </c>
      <c r="O248" s="4" t="n">
        <f aca="false">O247+N248</f>
        <v>13581.5323928718</v>
      </c>
      <c r="P248" s="4" t="n">
        <f aca="false">MAX(0,-(R247+N248))</f>
        <v>0</v>
      </c>
      <c r="Q248" s="4" t="n">
        <f aca="false">Q247+P248</f>
        <v>16572.14044</v>
      </c>
      <c r="R248" s="4" t="n">
        <f aca="false">O248+Q248</f>
        <v>30153.6728328718</v>
      </c>
    </row>
    <row r="249" customFormat="false" ht="15" hidden="false" customHeight="false" outlineLevel="0" collapsed="false">
      <c r="A249" s="2" t="s">
        <v>46</v>
      </c>
      <c r="B249" s="2" t="s">
        <v>40</v>
      </c>
      <c r="C249" s="12" t="n">
        <v>0</v>
      </c>
      <c r="D249" s="13" t="s">
        <v>248</v>
      </c>
      <c r="E249" s="4" t="n">
        <f aca="false">0</f>
        <v>0</v>
      </c>
      <c r="F249" s="4" t="n">
        <f aca="false">E249*(1-情景参数!D8)</f>
        <v>0</v>
      </c>
      <c r="G249" s="4" t="n">
        <f aca="false">0</f>
        <v>0</v>
      </c>
      <c r="H249" s="4" t="n">
        <f aca="false">0</f>
        <v>0</v>
      </c>
      <c r="I249" s="4" t="n">
        <f aca="false">0</f>
        <v>0</v>
      </c>
      <c r="J249" s="4" t="n">
        <f aca="false">(F249-I249)*(1-情景参数!F8)</f>
        <v>0</v>
      </c>
      <c r="K249" s="4" t="n">
        <f aca="false">偿债原表!F2</f>
        <v>0</v>
      </c>
      <c r="L249" s="4" t="n">
        <f aca="false">偿债原表!G2</f>
        <v>1374.2</v>
      </c>
      <c r="M249" s="4" t="n">
        <f aca="false">K249+L249</f>
        <v>1374.2</v>
      </c>
      <c r="N249" s="4" t="n">
        <f aca="false">J249-M249</f>
        <v>-1374.2</v>
      </c>
      <c r="O249" s="4" t="n">
        <f aca="false">N249</f>
        <v>-1374.2</v>
      </c>
      <c r="P249" s="4" t="n">
        <f aca="false">MAX(0,-N249)</f>
        <v>1374.2</v>
      </c>
      <c r="Q249" s="4" t="n">
        <f aca="false">P249</f>
        <v>1374.2</v>
      </c>
      <c r="R249" s="4" t="n">
        <f aca="false">O249+Q249</f>
        <v>0</v>
      </c>
    </row>
    <row r="250" customFormat="false" ht="15" hidden="false" customHeight="false" outlineLevel="0" collapsed="false">
      <c r="A250" s="2" t="s">
        <v>46</v>
      </c>
      <c r="B250" s="2" t="s">
        <v>40</v>
      </c>
      <c r="C250" s="12" t="n">
        <v>1</v>
      </c>
      <c r="D250" s="12" t="n">
        <v>2024</v>
      </c>
      <c r="E250" s="4" t="n">
        <f aca="false">INDEX(驱动复算!A2:X2,1,情景参数!B8)</f>
        <v>0</v>
      </c>
      <c r="F250" s="4" t="n">
        <f aca="false">E250*(1-情景参数!D8)</f>
        <v>0</v>
      </c>
      <c r="G250" s="4" t="n">
        <f aca="false">IF(情景参数!E8="原表",驱动复算!U2-驱动复算!W2,驱动复算!P2)</f>
        <v>0</v>
      </c>
      <c r="H250" s="4" t="n">
        <f aca="false">IF(情景参数!E8="原表",驱动复算!W2,F250*情景参数!C8)</f>
        <v>0</v>
      </c>
      <c r="I250" s="4" t="n">
        <f aca="false">IF(情景参数!E8="原表",驱动复算!U2,G250+H250)</f>
        <v>0</v>
      </c>
      <c r="J250" s="4" t="n">
        <f aca="false">(F250-I250)*(1-情景参数!F8)</f>
        <v>0</v>
      </c>
      <c r="K250" s="4" t="n">
        <f aca="false">偿债原表!F3</f>
        <v>0</v>
      </c>
      <c r="L250" s="4" t="n">
        <f aca="false">偿债原表!G3</f>
        <v>1107.58</v>
      </c>
      <c r="M250" s="4" t="n">
        <f aca="false">K250+L250</f>
        <v>1107.58</v>
      </c>
      <c r="N250" s="4" t="n">
        <f aca="false">J250-M250</f>
        <v>-1107.58</v>
      </c>
      <c r="O250" s="4" t="n">
        <f aca="false">O249+N250</f>
        <v>-2481.78</v>
      </c>
      <c r="P250" s="4" t="n">
        <f aca="false">MAX(0,-(R249+N250))</f>
        <v>1107.58</v>
      </c>
      <c r="Q250" s="4" t="n">
        <f aca="false">Q249+P250</f>
        <v>2481.78</v>
      </c>
      <c r="R250" s="4" t="n">
        <f aca="false">O250+Q250</f>
        <v>0</v>
      </c>
    </row>
    <row r="251" customFormat="false" ht="15" hidden="false" customHeight="false" outlineLevel="0" collapsed="false">
      <c r="A251" s="2" t="s">
        <v>46</v>
      </c>
      <c r="B251" s="2" t="s">
        <v>40</v>
      </c>
      <c r="C251" s="12" t="n">
        <v>2</v>
      </c>
      <c r="D251" s="12" t="n">
        <v>2025</v>
      </c>
      <c r="E251" s="4" t="n">
        <f aca="false">INDEX(驱动复算!A3:X3,1,情景参数!B8)</f>
        <v>0</v>
      </c>
      <c r="F251" s="4" t="n">
        <f aca="false">E251*(1-情景参数!D8)</f>
        <v>0</v>
      </c>
      <c r="G251" s="4" t="n">
        <f aca="false">IF(情景参数!E8="原表",驱动复算!U3-驱动复算!W3,驱动复算!P3)</f>
        <v>0</v>
      </c>
      <c r="H251" s="4" t="n">
        <f aca="false">IF(情景参数!E8="原表",驱动复算!W3,F251*情景参数!C8)</f>
        <v>0</v>
      </c>
      <c r="I251" s="4" t="n">
        <f aca="false">IF(情景参数!E8="原表",驱动复算!U3,G251+H251)</f>
        <v>0</v>
      </c>
      <c r="J251" s="4" t="n">
        <f aca="false">(F251-I251)*(1-情景参数!F8)</f>
        <v>0</v>
      </c>
      <c r="K251" s="4" t="n">
        <f aca="false">偿债原表!F4</f>
        <v>0</v>
      </c>
      <c r="L251" s="4" t="n">
        <f aca="false">偿债原表!G4</f>
        <v>1107.58</v>
      </c>
      <c r="M251" s="4" t="n">
        <f aca="false">K251+L251</f>
        <v>1107.58</v>
      </c>
      <c r="N251" s="4" t="n">
        <f aca="false">J251-M251</f>
        <v>-1107.58</v>
      </c>
      <c r="O251" s="4" t="n">
        <f aca="false">O250+N251</f>
        <v>-3589.36</v>
      </c>
      <c r="P251" s="4" t="n">
        <f aca="false">MAX(0,-(R250+N251))</f>
        <v>1107.58</v>
      </c>
      <c r="Q251" s="4" t="n">
        <f aca="false">Q250+P251</f>
        <v>3589.36</v>
      </c>
      <c r="R251" s="4" t="n">
        <f aca="false">O251+Q251</f>
        <v>0</v>
      </c>
    </row>
    <row r="252" customFormat="false" ht="15" hidden="false" customHeight="false" outlineLevel="0" collapsed="false">
      <c r="A252" s="2" t="s">
        <v>46</v>
      </c>
      <c r="B252" s="2" t="s">
        <v>40</v>
      </c>
      <c r="C252" s="12" t="n">
        <v>3</v>
      </c>
      <c r="D252" s="12" t="n">
        <v>2026</v>
      </c>
      <c r="E252" s="4" t="n">
        <f aca="false">INDEX(驱动复算!A4:X4,1,情景参数!B8)</f>
        <v>0</v>
      </c>
      <c r="F252" s="4" t="n">
        <f aca="false">E252*(1-情景参数!D8)</f>
        <v>0</v>
      </c>
      <c r="G252" s="4" t="n">
        <f aca="false">IF(情景参数!E8="原表",驱动复算!U4-驱动复算!W4,驱动复算!P4)</f>
        <v>0</v>
      </c>
      <c r="H252" s="4" t="n">
        <f aca="false">IF(情景参数!E8="原表",驱动复算!W4,F252*情景参数!C8)</f>
        <v>0</v>
      </c>
      <c r="I252" s="4" t="n">
        <f aca="false">IF(情景参数!E8="原表",驱动复算!U4,G252+H252)</f>
        <v>0</v>
      </c>
      <c r="J252" s="4" t="n">
        <f aca="false">(F252-I252)*(1-情景参数!F8)</f>
        <v>0</v>
      </c>
      <c r="K252" s="4" t="n">
        <f aca="false">偿债原表!F5</f>
        <v>0</v>
      </c>
      <c r="L252" s="4" t="n">
        <f aca="false">偿债原表!G5</f>
        <v>1107.58</v>
      </c>
      <c r="M252" s="4" t="n">
        <f aca="false">K252+L252</f>
        <v>1107.58</v>
      </c>
      <c r="N252" s="4" t="n">
        <f aca="false">J252-M252</f>
        <v>-1107.58</v>
      </c>
      <c r="O252" s="4" t="n">
        <f aca="false">O251+N252</f>
        <v>-4696.94</v>
      </c>
      <c r="P252" s="4" t="n">
        <f aca="false">MAX(0,-(R251+N252))</f>
        <v>1107.58</v>
      </c>
      <c r="Q252" s="4" t="n">
        <f aca="false">Q251+P252</f>
        <v>4696.94</v>
      </c>
      <c r="R252" s="4" t="n">
        <f aca="false">O252+Q252</f>
        <v>0</v>
      </c>
    </row>
    <row r="253" customFormat="false" ht="15" hidden="false" customHeight="false" outlineLevel="0" collapsed="false">
      <c r="A253" s="2" t="s">
        <v>46</v>
      </c>
      <c r="B253" s="2" t="s">
        <v>40</v>
      </c>
      <c r="C253" s="12" t="n">
        <v>4</v>
      </c>
      <c r="D253" s="12" t="n">
        <v>2027</v>
      </c>
      <c r="E253" s="4" t="n">
        <f aca="false">INDEX(驱动复算!A5:X5,1,情景参数!B8)</f>
        <v>0</v>
      </c>
      <c r="F253" s="4" t="n">
        <f aca="false">E253*(1-情景参数!D8)</f>
        <v>0</v>
      </c>
      <c r="G253" s="4" t="n">
        <f aca="false">IF(情景参数!E8="原表",驱动复算!U5-驱动复算!W5,驱动复算!P5)</f>
        <v>0</v>
      </c>
      <c r="H253" s="4" t="n">
        <f aca="false">IF(情景参数!E8="原表",驱动复算!W5,F253*情景参数!C8)</f>
        <v>0</v>
      </c>
      <c r="I253" s="4" t="n">
        <f aca="false">IF(情景参数!E8="原表",驱动复算!U5,G253+H253)</f>
        <v>0</v>
      </c>
      <c r="J253" s="4" t="n">
        <f aca="false">(F253-I253)*(1-情景参数!F8)</f>
        <v>0</v>
      </c>
      <c r="K253" s="4" t="n">
        <f aca="false">偿债原表!F6</f>
        <v>0</v>
      </c>
      <c r="L253" s="4" t="n">
        <f aca="false">偿债原表!G6</f>
        <v>1107.58</v>
      </c>
      <c r="M253" s="4" t="n">
        <f aca="false">K253+L253</f>
        <v>1107.58</v>
      </c>
      <c r="N253" s="4" t="n">
        <f aca="false">J253-M253</f>
        <v>-1107.58</v>
      </c>
      <c r="O253" s="4" t="n">
        <f aca="false">O252+N253</f>
        <v>-5804.52</v>
      </c>
      <c r="P253" s="4" t="n">
        <f aca="false">MAX(0,-(R252+N253))</f>
        <v>1107.58</v>
      </c>
      <c r="Q253" s="4" t="n">
        <f aca="false">Q252+P253</f>
        <v>5804.52</v>
      </c>
      <c r="R253" s="4" t="n">
        <f aca="false">O253+Q253</f>
        <v>0</v>
      </c>
    </row>
    <row r="254" customFormat="false" ht="15" hidden="false" customHeight="false" outlineLevel="0" collapsed="false">
      <c r="A254" s="2" t="s">
        <v>46</v>
      </c>
      <c r="B254" s="2" t="s">
        <v>40</v>
      </c>
      <c r="C254" s="12" t="n">
        <v>5</v>
      </c>
      <c r="D254" s="12" t="n">
        <v>2028</v>
      </c>
      <c r="E254" s="4" t="n">
        <f aca="false">INDEX(驱动复算!A6:X6,1,情景参数!B8)</f>
        <v>9076.9048</v>
      </c>
      <c r="F254" s="4" t="n">
        <f aca="false">E254*(1-情景参数!D8)</f>
        <v>9076.9048</v>
      </c>
      <c r="G254" s="4" t="n">
        <f aca="false">IF(情景参数!E8="原表",驱动复算!U6-驱动复算!W6,驱动复算!P6)</f>
        <v>7355</v>
      </c>
      <c r="H254" s="4" t="n">
        <f aca="false">IF(情景参数!E8="原表",驱动复算!W6,F254*情景参数!C8)</f>
        <v>453.84524</v>
      </c>
      <c r="I254" s="4" t="n">
        <f aca="false">IF(情景参数!E8="原表",驱动复算!U6,G254+H254)</f>
        <v>7808.84524</v>
      </c>
      <c r="J254" s="4" t="n">
        <f aca="false">(F254-I254)*(1-情景参数!F8)</f>
        <v>1268.05956</v>
      </c>
      <c r="K254" s="4" t="n">
        <f aca="false">偿债原表!F7</f>
        <v>1400</v>
      </c>
      <c r="L254" s="4" t="n">
        <f aca="false">偿债原表!G7</f>
        <v>1107.58</v>
      </c>
      <c r="M254" s="4" t="n">
        <f aca="false">K254+L254</f>
        <v>2507.58</v>
      </c>
      <c r="N254" s="4" t="n">
        <f aca="false">J254-M254</f>
        <v>-1239.52044</v>
      </c>
      <c r="O254" s="4" t="n">
        <f aca="false">O253+N254</f>
        <v>-7044.04044</v>
      </c>
      <c r="P254" s="4" t="n">
        <f aca="false">MAX(0,-(R253+N254))</f>
        <v>1239.52044</v>
      </c>
      <c r="Q254" s="4" t="n">
        <f aca="false">Q253+P254</f>
        <v>7044.04044</v>
      </c>
      <c r="R254" s="4" t="n">
        <f aca="false">O254+Q254</f>
        <v>0</v>
      </c>
    </row>
    <row r="255" customFormat="false" ht="15" hidden="false" customHeight="false" outlineLevel="0" collapsed="false">
      <c r="A255" s="2" t="s">
        <v>46</v>
      </c>
      <c r="B255" s="2" t="s">
        <v>40</v>
      </c>
      <c r="C255" s="12" t="n">
        <v>6</v>
      </c>
      <c r="D255" s="12" t="n">
        <v>2029</v>
      </c>
      <c r="E255" s="4" t="n">
        <f aca="false">INDEX(驱动复算!A7:X7,1,情景参数!B8)</f>
        <v>9911.9048</v>
      </c>
      <c r="F255" s="4" t="n">
        <f aca="false">E255*(1-情景参数!D8)</f>
        <v>9911.9048</v>
      </c>
      <c r="G255" s="4" t="n">
        <f aca="false">IF(情景参数!E8="原表",驱动复算!U7-驱动复算!W7,驱动复算!P7)</f>
        <v>7575.65</v>
      </c>
      <c r="H255" s="4" t="n">
        <f aca="false">IF(情景参数!E8="原表",驱动复算!W7,F255*情景参数!C8)</f>
        <v>495.59524</v>
      </c>
      <c r="I255" s="4" t="n">
        <f aca="false">IF(情景参数!E8="原表",驱动复算!U7,G255+H255)</f>
        <v>8071.24524</v>
      </c>
      <c r="J255" s="4" t="n">
        <f aca="false">(F255-I255)*(1-情景参数!F8)</f>
        <v>1840.65956</v>
      </c>
      <c r="K255" s="4" t="n">
        <f aca="false">偿债原表!F8</f>
        <v>0</v>
      </c>
      <c r="L255" s="4" t="n">
        <f aca="false">偿债原表!G8</f>
        <v>1075.8</v>
      </c>
      <c r="M255" s="4" t="n">
        <f aca="false">K255+L255</f>
        <v>1075.8</v>
      </c>
      <c r="N255" s="4" t="n">
        <f aca="false">J255-M255</f>
        <v>764.859559999998</v>
      </c>
      <c r="O255" s="4" t="n">
        <f aca="false">O254+N255</f>
        <v>-6279.18088</v>
      </c>
      <c r="P255" s="4" t="n">
        <f aca="false">MAX(0,-(R254+N255))</f>
        <v>0</v>
      </c>
      <c r="Q255" s="4" t="n">
        <f aca="false">Q254+P255</f>
        <v>7044.04044</v>
      </c>
      <c r="R255" s="4" t="n">
        <f aca="false">O255+Q255</f>
        <v>764.859559999998</v>
      </c>
    </row>
    <row r="256" customFormat="false" ht="15" hidden="false" customHeight="false" outlineLevel="0" collapsed="false">
      <c r="A256" s="2" t="s">
        <v>46</v>
      </c>
      <c r="B256" s="2" t="s">
        <v>40</v>
      </c>
      <c r="C256" s="12" t="n">
        <v>7</v>
      </c>
      <c r="D256" s="12" t="n">
        <v>2030</v>
      </c>
      <c r="E256" s="4" t="n">
        <f aca="false">INDEX(驱动复算!A8:X8,1,情景参数!B8)</f>
        <v>10830.4048</v>
      </c>
      <c r="F256" s="4" t="n">
        <f aca="false">E256*(1-情景参数!D8)</f>
        <v>10830.4048</v>
      </c>
      <c r="G256" s="4" t="n">
        <f aca="false">IF(情景参数!E8="原表",驱动复算!U8-驱动复算!W8,驱动复算!P8)</f>
        <v>7802.9195</v>
      </c>
      <c r="H256" s="4" t="n">
        <f aca="false">IF(情景参数!E8="原表",驱动复算!W8,F256*情景参数!C8)</f>
        <v>541.52024</v>
      </c>
      <c r="I256" s="4" t="n">
        <f aca="false">IF(情景参数!E8="原表",驱动复算!U8,G256+H256)</f>
        <v>8344.43974</v>
      </c>
      <c r="J256" s="4" t="n">
        <f aca="false">(F256-I256)*(1-情景参数!F8)</f>
        <v>2485.96506</v>
      </c>
      <c r="K256" s="4" t="n">
        <f aca="false">偿债原表!F9</f>
        <v>0</v>
      </c>
      <c r="L256" s="4" t="n">
        <f aca="false">偿债原表!G9</f>
        <v>1075.8</v>
      </c>
      <c r="M256" s="4" t="n">
        <f aca="false">K256+L256</f>
        <v>1075.8</v>
      </c>
      <c r="N256" s="4" t="n">
        <f aca="false">J256-M256</f>
        <v>1410.16506</v>
      </c>
      <c r="O256" s="4" t="n">
        <f aca="false">O255+N256</f>
        <v>-4869.01582</v>
      </c>
      <c r="P256" s="4" t="n">
        <f aca="false">MAX(0,-(R255+N256))</f>
        <v>0</v>
      </c>
      <c r="Q256" s="4" t="n">
        <f aca="false">Q255+P256</f>
        <v>7044.04044</v>
      </c>
      <c r="R256" s="4" t="n">
        <f aca="false">O256+Q256</f>
        <v>2175.02462</v>
      </c>
    </row>
    <row r="257" customFormat="false" ht="15" hidden="false" customHeight="false" outlineLevel="0" collapsed="false">
      <c r="A257" s="2" t="s">
        <v>46</v>
      </c>
      <c r="B257" s="2" t="s">
        <v>40</v>
      </c>
      <c r="C257" s="12" t="n">
        <v>8</v>
      </c>
      <c r="D257" s="12" t="n">
        <v>2031</v>
      </c>
      <c r="E257" s="4" t="n">
        <f aca="false">INDEX(驱动复算!A9:X9,1,情景参数!B8)</f>
        <v>11840.7548</v>
      </c>
      <c r="F257" s="4" t="n">
        <f aca="false">E257*(1-情景参数!D8)</f>
        <v>11840.7548</v>
      </c>
      <c r="G257" s="4" t="n">
        <f aca="false">IF(情景参数!E8="原表",驱动复算!U9-驱动复算!W9,驱动复算!P9)</f>
        <v>8037.007085</v>
      </c>
      <c r="H257" s="4" t="n">
        <f aca="false">IF(情景参数!E8="原表",驱动复算!W9,F257*情景参数!C8)</f>
        <v>592.03774</v>
      </c>
      <c r="I257" s="4" t="n">
        <f aca="false">IF(情景参数!E8="原表",驱动复算!U9,G257+H257)</f>
        <v>8629.044825</v>
      </c>
      <c r="J257" s="4" t="n">
        <f aca="false">(F257-I257)*(1-情景参数!F8)</f>
        <v>3211.709975</v>
      </c>
      <c r="K257" s="4" t="n">
        <f aca="false">偿债原表!F10</f>
        <v>0</v>
      </c>
      <c r="L257" s="4" t="n">
        <f aca="false">偿债原表!G10</f>
        <v>1075.8</v>
      </c>
      <c r="M257" s="4" t="n">
        <f aca="false">K257+L257</f>
        <v>1075.8</v>
      </c>
      <c r="N257" s="4" t="n">
        <f aca="false">J257-M257</f>
        <v>2135.909975</v>
      </c>
      <c r="O257" s="4" t="n">
        <f aca="false">O256+N257</f>
        <v>-2733.105845</v>
      </c>
      <c r="P257" s="4" t="n">
        <f aca="false">MAX(0,-(R256+N257))</f>
        <v>0</v>
      </c>
      <c r="Q257" s="4" t="n">
        <f aca="false">Q256+P257</f>
        <v>7044.04044</v>
      </c>
      <c r="R257" s="4" t="n">
        <f aca="false">O257+Q257</f>
        <v>4310.934595</v>
      </c>
    </row>
    <row r="258" customFormat="false" ht="15" hidden="false" customHeight="false" outlineLevel="0" collapsed="false">
      <c r="A258" s="2" t="s">
        <v>46</v>
      </c>
      <c r="B258" s="2" t="s">
        <v>40</v>
      </c>
      <c r="C258" s="12" t="n">
        <v>9</v>
      </c>
      <c r="D258" s="12" t="n">
        <v>2032</v>
      </c>
      <c r="E258" s="4" t="n">
        <f aca="false">INDEX(驱动复算!A10:X10,1,情景参数!B8)</f>
        <v>12952.1398</v>
      </c>
      <c r="F258" s="4" t="n">
        <f aca="false">E258*(1-情景参数!D8)</f>
        <v>12952.1398</v>
      </c>
      <c r="G258" s="4" t="n">
        <f aca="false">IF(情景参数!E8="原表",驱动复算!U10-驱动复算!W10,驱动复算!P10)</f>
        <v>8278.11729755</v>
      </c>
      <c r="H258" s="4" t="n">
        <f aca="false">IF(情景参数!E8="原表",驱动复算!W10,F258*情景参数!C8)</f>
        <v>647.60699</v>
      </c>
      <c r="I258" s="4" t="n">
        <f aca="false">IF(情景参数!E8="原表",驱动复算!U10,G258+H258)</f>
        <v>8925.72428755</v>
      </c>
      <c r="J258" s="4" t="n">
        <f aca="false">(F258-I258)*(1-情景参数!F8)</f>
        <v>4026.41551245</v>
      </c>
      <c r="K258" s="4" t="n">
        <f aca="false">偿债原表!F11</f>
        <v>2000</v>
      </c>
      <c r="L258" s="4" t="n">
        <f aca="false">偿债原表!G11</f>
        <v>1075.8</v>
      </c>
      <c r="M258" s="4" t="n">
        <f aca="false">K258+L258</f>
        <v>3075.8</v>
      </c>
      <c r="N258" s="4" t="n">
        <f aca="false">J258-M258</f>
        <v>950.615512450001</v>
      </c>
      <c r="O258" s="4" t="n">
        <f aca="false">O257+N258</f>
        <v>-1782.49033255</v>
      </c>
      <c r="P258" s="4" t="n">
        <f aca="false">MAX(0,-(R257+N258))</f>
        <v>0</v>
      </c>
      <c r="Q258" s="4" t="n">
        <f aca="false">Q257+P258</f>
        <v>7044.04044</v>
      </c>
      <c r="R258" s="4" t="n">
        <f aca="false">O258+Q258</f>
        <v>5261.55010745</v>
      </c>
    </row>
    <row r="259" customFormat="false" ht="15" hidden="false" customHeight="false" outlineLevel="0" collapsed="false">
      <c r="A259" s="2" t="s">
        <v>46</v>
      </c>
      <c r="B259" s="2" t="s">
        <v>40</v>
      </c>
      <c r="C259" s="12" t="n">
        <v>10</v>
      </c>
      <c r="D259" s="12" t="n">
        <v>2033</v>
      </c>
      <c r="E259" s="4" t="n">
        <f aca="false">INDEX(驱动复算!A11:X11,1,情景参数!B8)</f>
        <v>13687.09275</v>
      </c>
      <c r="F259" s="4" t="n">
        <f aca="false">E259*(1-情景参数!D8)</f>
        <v>13687.09275</v>
      </c>
      <c r="G259" s="4" t="n">
        <f aca="false">IF(情景参数!E8="原表",驱动复算!U11-驱动复算!W11,驱动复算!P11)</f>
        <v>8526.4608164765</v>
      </c>
      <c r="H259" s="4" t="n">
        <f aca="false">IF(情景参数!E8="原表",驱动复算!W11,F259*情景参数!C8)</f>
        <v>684.3546375</v>
      </c>
      <c r="I259" s="4" t="n">
        <f aca="false">IF(情景参数!E8="原表",驱动复算!U11,G259+H259)</f>
        <v>9210.8154539765</v>
      </c>
      <c r="J259" s="4" t="n">
        <f aca="false">(F259-I259)*(1-情景参数!F8)</f>
        <v>4476.2772960235</v>
      </c>
      <c r="K259" s="4" t="n">
        <f aca="false">偿债原表!F12</f>
        <v>9600</v>
      </c>
      <c r="L259" s="4" t="n">
        <f aca="false">偿债原表!G12</f>
        <v>1018.8</v>
      </c>
      <c r="M259" s="4" t="n">
        <f aca="false">K259+L259</f>
        <v>10618.8</v>
      </c>
      <c r="N259" s="4" t="n">
        <f aca="false">J259-M259</f>
        <v>-6142.5227039765</v>
      </c>
      <c r="O259" s="4" t="n">
        <f aca="false">O258+N259</f>
        <v>-7925.01303652649</v>
      </c>
      <c r="P259" s="4" t="n">
        <f aca="false">MAX(0,-(R258+N259))</f>
        <v>880.972596526493</v>
      </c>
      <c r="Q259" s="4" t="n">
        <f aca="false">Q258+P259</f>
        <v>7925.01303652649</v>
      </c>
      <c r="R259" s="4" t="n">
        <f aca="false">O259+Q259</f>
        <v>0</v>
      </c>
    </row>
    <row r="260" customFormat="false" ht="15" hidden="false" customHeight="false" outlineLevel="0" collapsed="false">
      <c r="A260" s="2" t="s">
        <v>46</v>
      </c>
      <c r="B260" s="2" t="s">
        <v>40</v>
      </c>
      <c r="C260" s="12" t="n">
        <v>11</v>
      </c>
      <c r="D260" s="12" t="n">
        <v>2034</v>
      </c>
      <c r="E260" s="4" t="n">
        <f aca="false">INDEX(驱动复算!A12:X12,1,情景参数!B8)</f>
        <v>14328.9175875</v>
      </c>
      <c r="F260" s="4" t="n">
        <f aca="false">E260*(1-情景参数!D8)</f>
        <v>14328.9175875</v>
      </c>
      <c r="G260" s="4" t="n">
        <f aca="false">IF(情景参数!E8="原表",驱动复算!U12-驱动复算!W12,驱动复算!P12)</f>
        <v>8782.2546409708</v>
      </c>
      <c r="H260" s="4" t="n">
        <f aca="false">IF(情景参数!E8="原表",驱动复算!W12,F260*情景参数!C8)</f>
        <v>716.445879375001</v>
      </c>
      <c r="I260" s="4" t="n">
        <f aca="false">IF(情景参数!E8="原表",驱动复算!U12,G260+H260)</f>
        <v>9498.7005203458</v>
      </c>
      <c r="J260" s="4" t="n">
        <f aca="false">(F260-I260)*(1-情景参数!F8)</f>
        <v>4830.21706715421</v>
      </c>
      <c r="K260" s="4" t="n">
        <f aca="false">偿债原表!F13</f>
        <v>0</v>
      </c>
      <c r="L260" s="4" t="n">
        <f aca="false">偿债原表!G13</f>
        <v>673.2</v>
      </c>
      <c r="M260" s="4" t="n">
        <f aca="false">K260+L260</f>
        <v>673.2</v>
      </c>
      <c r="N260" s="4" t="n">
        <f aca="false">J260-M260</f>
        <v>4157.01706715421</v>
      </c>
      <c r="O260" s="4" t="n">
        <f aca="false">O259+N260</f>
        <v>-3767.99596937228</v>
      </c>
      <c r="P260" s="4" t="n">
        <f aca="false">MAX(0,-(R259+N260))</f>
        <v>0</v>
      </c>
      <c r="Q260" s="4" t="n">
        <f aca="false">Q259+P260</f>
        <v>7925.01303652649</v>
      </c>
      <c r="R260" s="4" t="n">
        <f aca="false">O260+Q260</f>
        <v>4157.01706715421</v>
      </c>
    </row>
    <row r="261" customFormat="false" ht="15" hidden="false" customHeight="false" outlineLevel="0" collapsed="false">
      <c r="A261" s="2" t="s">
        <v>46</v>
      </c>
      <c r="B261" s="2" t="s">
        <v>40</v>
      </c>
      <c r="C261" s="12" t="n">
        <v>12</v>
      </c>
      <c r="D261" s="12" t="n">
        <v>2035</v>
      </c>
      <c r="E261" s="4" t="n">
        <f aca="false">INDEX(驱动复算!A13:X13,1,情景参数!B8)</f>
        <v>15002.833666875</v>
      </c>
      <c r="F261" s="4" t="n">
        <f aca="false">E261*(1-情景参数!D8)</f>
        <v>15002.833666875</v>
      </c>
      <c r="G261" s="4" t="n">
        <f aca="false">IF(情景参数!E8="原表",驱动复算!U13-驱动复算!W13,驱动复算!P13)</f>
        <v>9045.72228019992</v>
      </c>
      <c r="H261" s="4" t="n">
        <f aca="false">IF(情景参数!E8="原表",驱动复算!W13,F261*情景参数!C8)</f>
        <v>750.14168334375</v>
      </c>
      <c r="I261" s="4" t="n">
        <f aca="false">IF(情景参数!E8="原表",驱动复算!U13,G261+H261)</f>
        <v>9795.86396354367</v>
      </c>
      <c r="J261" s="4" t="n">
        <f aca="false">(F261-I261)*(1-情景参数!F8)</f>
        <v>5206.96970333134</v>
      </c>
      <c r="K261" s="4" t="n">
        <f aca="false">偿债原表!F14</f>
        <v>0</v>
      </c>
      <c r="L261" s="4" t="n">
        <f aca="false">偿债原表!G14</f>
        <v>673.2</v>
      </c>
      <c r="M261" s="4" t="n">
        <f aca="false">K261+L261</f>
        <v>673.2</v>
      </c>
      <c r="N261" s="4" t="n">
        <f aca="false">J261-M261</f>
        <v>4533.76970333134</v>
      </c>
      <c r="O261" s="4" t="n">
        <f aca="false">O260+N261</f>
        <v>765.773733959053</v>
      </c>
      <c r="P261" s="4" t="n">
        <f aca="false">MAX(0,-(R260+N261))</f>
        <v>0</v>
      </c>
      <c r="Q261" s="4" t="n">
        <f aca="false">Q260+P261</f>
        <v>7925.01303652649</v>
      </c>
      <c r="R261" s="4" t="n">
        <f aca="false">O261+Q261</f>
        <v>8690.78677048555</v>
      </c>
    </row>
    <row r="262" customFormat="false" ht="15" hidden="false" customHeight="false" outlineLevel="0" collapsed="false">
      <c r="A262" s="2" t="s">
        <v>46</v>
      </c>
      <c r="B262" s="2" t="s">
        <v>40</v>
      </c>
      <c r="C262" s="12" t="n">
        <v>13</v>
      </c>
      <c r="D262" s="12" t="n">
        <v>2036</v>
      </c>
      <c r="E262" s="4" t="n">
        <f aca="false">INDEX(驱动复算!A14:X14,1,情景参数!B8)</f>
        <v>15710.4455502188</v>
      </c>
      <c r="F262" s="4" t="n">
        <f aca="false">E262*(1-情景参数!D8)</f>
        <v>15710.4455502188</v>
      </c>
      <c r="G262" s="4" t="n">
        <f aca="false">IF(情景参数!E8="原表",驱动复算!U14-驱动复算!W14,驱动复算!P14)</f>
        <v>9317.09394860592</v>
      </c>
      <c r="H262" s="4" t="n">
        <f aca="false">IF(情景参数!E8="原表",驱动复算!W14,F262*情景参数!C8)</f>
        <v>785.522277510938</v>
      </c>
      <c r="I262" s="4" t="n">
        <f aca="false">IF(情景参数!E8="原表",驱动复算!U14,G262+H262)</f>
        <v>10102.6162261169</v>
      </c>
      <c r="J262" s="4" t="n">
        <f aca="false">(F262-I262)*(1-情景参数!F8)</f>
        <v>5607.8293241019</v>
      </c>
      <c r="K262" s="4" t="n">
        <f aca="false">偿债原表!F15</f>
        <v>0</v>
      </c>
      <c r="L262" s="4" t="n">
        <f aca="false">偿债原表!G15</f>
        <v>673.2</v>
      </c>
      <c r="M262" s="4" t="n">
        <f aca="false">K262+L262</f>
        <v>673.2</v>
      </c>
      <c r="N262" s="4" t="n">
        <f aca="false">J262-M262</f>
        <v>4934.6293241019</v>
      </c>
      <c r="O262" s="4" t="n">
        <f aca="false">O261+N262</f>
        <v>5700.40305806096</v>
      </c>
      <c r="P262" s="4" t="n">
        <f aca="false">MAX(0,-(R261+N262))</f>
        <v>0</v>
      </c>
      <c r="Q262" s="4" t="n">
        <f aca="false">Q261+P262</f>
        <v>7925.01303652649</v>
      </c>
      <c r="R262" s="4" t="n">
        <f aca="false">O262+Q262</f>
        <v>13625.4160945875</v>
      </c>
    </row>
    <row r="263" customFormat="false" ht="15" hidden="false" customHeight="false" outlineLevel="0" collapsed="false">
      <c r="A263" s="2" t="s">
        <v>46</v>
      </c>
      <c r="B263" s="2" t="s">
        <v>40</v>
      </c>
      <c r="C263" s="12" t="n">
        <v>14</v>
      </c>
      <c r="D263" s="12" t="n">
        <v>2037</v>
      </c>
      <c r="E263" s="4" t="n">
        <f aca="false">INDEX(驱动复算!A15:X15,1,情景参数!B8)</f>
        <v>16453.4380277297</v>
      </c>
      <c r="F263" s="4" t="n">
        <f aca="false">E263*(1-情景参数!D8)</f>
        <v>16453.4380277297</v>
      </c>
      <c r="G263" s="4" t="n">
        <f aca="false">IF(情景参数!E8="原表",驱动复算!U15-驱动复算!W15,驱动复算!P15)</f>
        <v>9596.6067670641</v>
      </c>
      <c r="H263" s="4" t="n">
        <f aca="false">IF(情景参数!E8="原表",驱动复算!W15,F263*情景参数!C8)</f>
        <v>822.671901386485</v>
      </c>
      <c r="I263" s="4" t="n">
        <f aca="false">IF(情景参数!E8="原表",驱动复算!U15,G263+H263)</f>
        <v>10419.2786684506</v>
      </c>
      <c r="J263" s="4" t="n">
        <f aca="false">(F263-I263)*(1-情景参数!F8)</f>
        <v>6034.15935927912</v>
      </c>
      <c r="K263" s="4" t="n">
        <f aca="false">偿债原表!F16</f>
        <v>1000</v>
      </c>
      <c r="L263" s="4" t="n">
        <f aca="false">偿债原表!G16</f>
        <v>673.2</v>
      </c>
      <c r="M263" s="4" t="n">
        <f aca="false">K263+L263</f>
        <v>1673.2</v>
      </c>
      <c r="N263" s="4" t="n">
        <f aca="false">J263-M263</f>
        <v>4360.95935927912</v>
      </c>
      <c r="O263" s="4" t="n">
        <f aca="false">O262+N263</f>
        <v>10061.3624173401</v>
      </c>
      <c r="P263" s="4" t="n">
        <f aca="false">MAX(0,-(R262+N263))</f>
        <v>0</v>
      </c>
      <c r="Q263" s="4" t="n">
        <f aca="false">Q262+P263</f>
        <v>7925.01303652649</v>
      </c>
      <c r="R263" s="4" t="n">
        <f aca="false">O263+Q263</f>
        <v>17986.3754538666</v>
      </c>
    </row>
    <row r="264" customFormat="false" ht="15" hidden="false" customHeight="false" outlineLevel="0" collapsed="false">
      <c r="A264" s="2" t="s">
        <v>46</v>
      </c>
      <c r="B264" s="2" t="s">
        <v>40</v>
      </c>
      <c r="C264" s="12" t="n">
        <v>15</v>
      </c>
      <c r="D264" s="12" t="n">
        <v>2038</v>
      </c>
      <c r="E264" s="4" t="n">
        <f aca="false">INDEX(驱动复算!A16:X16,1,情景参数!B8)</f>
        <v>16792.3004682843</v>
      </c>
      <c r="F264" s="4" t="n">
        <f aca="false">E264*(1-情景参数!D8)</f>
        <v>16792.3004682843</v>
      </c>
      <c r="G264" s="4" t="n">
        <f aca="false">IF(情景参数!E8="原表",驱动复算!U16-驱动复算!W16,驱动复算!P16)</f>
        <v>9884.50497007602</v>
      </c>
      <c r="H264" s="4" t="n">
        <f aca="false">IF(情景参数!E8="原表",驱动复算!W16,F264*情景参数!C8)</f>
        <v>839.615023414215</v>
      </c>
      <c r="I264" s="4" t="n">
        <f aca="false">IF(情景参数!E8="原表",驱动复算!U16,G264+H264)</f>
        <v>10724.1199934902</v>
      </c>
      <c r="J264" s="4" t="n">
        <f aca="false">(F264-I264)*(1-情景参数!F8)</f>
        <v>6068.18047479406</v>
      </c>
      <c r="K264" s="4" t="n">
        <f aca="false">偿债原表!F17</f>
        <v>0</v>
      </c>
      <c r="L264" s="4" t="n">
        <f aca="false">偿债原表!G17</f>
        <v>644</v>
      </c>
      <c r="M264" s="4" t="n">
        <f aca="false">K264+L264</f>
        <v>644</v>
      </c>
      <c r="N264" s="4" t="n">
        <f aca="false">J264-M264</f>
        <v>5424.18047479406</v>
      </c>
      <c r="O264" s="4" t="n">
        <f aca="false">O263+N264</f>
        <v>15485.5428921341</v>
      </c>
      <c r="P264" s="4" t="n">
        <f aca="false">MAX(0,-(R263+N264))</f>
        <v>0</v>
      </c>
      <c r="Q264" s="4" t="n">
        <f aca="false">Q263+P264</f>
        <v>7925.01303652649</v>
      </c>
      <c r="R264" s="4" t="n">
        <f aca="false">O264+Q264</f>
        <v>23410.5559286606</v>
      </c>
    </row>
    <row r="265" customFormat="false" ht="15" hidden="false" customHeight="false" outlineLevel="0" collapsed="false">
      <c r="A265" s="2" t="s">
        <v>46</v>
      </c>
      <c r="B265" s="2" t="s">
        <v>40</v>
      </c>
      <c r="C265" s="12" t="n">
        <v>16</v>
      </c>
      <c r="D265" s="12" t="n">
        <v>2039</v>
      </c>
      <c r="E265" s="4" t="n">
        <f aca="false">INDEX(驱动复算!A17:X17,1,情景参数!B8)</f>
        <v>17110.59844565</v>
      </c>
      <c r="F265" s="4" t="n">
        <f aca="false">E265*(1-情景参数!D8)</f>
        <v>17110.59844565</v>
      </c>
      <c r="G265" s="4" t="n">
        <f aca="false">IF(情景参数!E8="原表",驱动复算!U17-驱动复算!W17,驱动复算!P17)</f>
        <v>10181.0401191783</v>
      </c>
      <c r="H265" s="4" t="n">
        <f aca="false">IF(情景参数!E8="原表",驱动复算!W17,F265*情景参数!C8)</f>
        <v>855.529922282499</v>
      </c>
      <c r="I265" s="4" t="n">
        <f aca="false">IF(情景参数!E8="原表",驱动复算!U17,G265+H265)</f>
        <v>11036.5700414608</v>
      </c>
      <c r="J265" s="4" t="n">
        <f aca="false">(F265-I265)*(1-情景参数!F8)</f>
        <v>6074.02840418918</v>
      </c>
      <c r="K265" s="4" t="n">
        <f aca="false">偿债原表!F18</f>
        <v>0</v>
      </c>
      <c r="L265" s="4" t="n">
        <f aca="false">偿债原表!G18</f>
        <v>644</v>
      </c>
      <c r="M265" s="4" t="n">
        <f aca="false">K265+L265</f>
        <v>644</v>
      </c>
      <c r="N265" s="4" t="n">
        <f aca="false">J265-M265</f>
        <v>5430.02840418918</v>
      </c>
      <c r="O265" s="4" t="n">
        <f aca="false">O264+N265</f>
        <v>20915.5712963233</v>
      </c>
      <c r="P265" s="4" t="n">
        <f aca="false">MAX(0,-(R264+N265))</f>
        <v>0</v>
      </c>
      <c r="Q265" s="4" t="n">
        <f aca="false">Q264+P265</f>
        <v>7925.01303652649</v>
      </c>
      <c r="R265" s="4" t="n">
        <f aca="false">O265+Q265</f>
        <v>28840.5843328498</v>
      </c>
    </row>
    <row r="266" customFormat="false" ht="15" hidden="false" customHeight="false" outlineLevel="0" collapsed="false">
      <c r="A266" s="2" t="s">
        <v>46</v>
      </c>
      <c r="B266" s="2" t="s">
        <v>40</v>
      </c>
      <c r="C266" s="12" t="n">
        <v>17</v>
      </c>
      <c r="D266" s="12" t="n">
        <v>2040</v>
      </c>
      <c r="E266" s="4" t="n">
        <f aca="false">INDEX(驱动复算!A18:X18,1,情景参数!B8)</f>
        <v>17435.262382563</v>
      </c>
      <c r="F266" s="4" t="n">
        <f aca="false">E266*(1-情景参数!D8)</f>
        <v>17435.262382563</v>
      </c>
      <c r="G266" s="4" t="n">
        <f aca="false">IF(情景参数!E8="原表",驱动复算!U18-驱动复算!W18,驱动复算!P18)</f>
        <v>10486.4713227536</v>
      </c>
      <c r="H266" s="4" t="n">
        <f aca="false">IF(情景参数!E8="原表",驱动复算!W18,F266*情景参数!C8)</f>
        <v>871.763119128149</v>
      </c>
      <c r="I266" s="4" t="n">
        <f aca="false">IF(情景参数!E8="原表",驱动复算!U18,G266+H266)</f>
        <v>11358.2344418818</v>
      </c>
      <c r="J266" s="4" t="n">
        <f aca="false">(F266-I266)*(1-情景参数!F8)</f>
        <v>6077.02794068118</v>
      </c>
      <c r="K266" s="4" t="n">
        <f aca="false">偿债原表!F19</f>
        <v>0</v>
      </c>
      <c r="L266" s="4" t="n">
        <f aca="false">偿债原表!G19</f>
        <v>644</v>
      </c>
      <c r="M266" s="4" t="n">
        <f aca="false">K266+L266</f>
        <v>644</v>
      </c>
      <c r="N266" s="4" t="n">
        <f aca="false">J266-M266</f>
        <v>5433.02794068118</v>
      </c>
      <c r="O266" s="4" t="n">
        <f aca="false">O265+N266</f>
        <v>26348.5992370045</v>
      </c>
      <c r="P266" s="4" t="n">
        <f aca="false">MAX(0,-(R265+N266))</f>
        <v>0</v>
      </c>
      <c r="Q266" s="4" t="n">
        <f aca="false">Q265+P266</f>
        <v>7925.01303652649</v>
      </c>
      <c r="R266" s="4" t="n">
        <f aca="false">O266+Q266</f>
        <v>34273.612273531</v>
      </c>
    </row>
    <row r="267" customFormat="false" ht="15" hidden="false" customHeight="false" outlineLevel="0" collapsed="false">
      <c r="A267" s="2" t="s">
        <v>46</v>
      </c>
      <c r="B267" s="2" t="s">
        <v>40</v>
      </c>
      <c r="C267" s="12" t="n">
        <v>18</v>
      </c>
      <c r="D267" s="12" t="n">
        <v>2041</v>
      </c>
      <c r="E267" s="4" t="n">
        <f aca="false">INDEX(驱动复算!A19:X19,1,情景参数!B8)</f>
        <v>17766.4195982142</v>
      </c>
      <c r="F267" s="4" t="n">
        <f aca="false">E267*(1-情景参数!D8)</f>
        <v>17766.4195982142</v>
      </c>
      <c r="G267" s="4" t="n">
        <f aca="false">IF(情景参数!E8="原表",驱动复算!U19-驱动复算!W19,驱动复算!P19)</f>
        <v>10801.0654624363</v>
      </c>
      <c r="H267" s="4" t="n">
        <f aca="false">IF(情景参数!E8="原表",驱动复算!W19,F267*情景参数!C8)</f>
        <v>888.320979910712</v>
      </c>
      <c r="I267" s="4" t="n">
        <f aca="false">IF(情景参数!E8="原表",驱动复算!U19,G267+H267)</f>
        <v>11689.386442347</v>
      </c>
      <c r="J267" s="4" t="n">
        <f aca="false">(F267-I267)*(1-情景参数!F8)</f>
        <v>6077.03315586727</v>
      </c>
      <c r="K267" s="4" t="n">
        <f aca="false">偿债原表!F20</f>
        <v>20000</v>
      </c>
      <c r="L267" s="4" t="n">
        <f aca="false">偿债原表!G20</f>
        <v>644</v>
      </c>
      <c r="M267" s="4" t="n">
        <f aca="false">K267+L267</f>
        <v>20644</v>
      </c>
      <c r="N267" s="4" t="n">
        <f aca="false">J267-M267</f>
        <v>-14566.9668441327</v>
      </c>
      <c r="O267" s="4" t="n">
        <f aca="false">O266+N267</f>
        <v>11781.6323928718</v>
      </c>
      <c r="P267" s="4" t="n">
        <f aca="false">MAX(0,-(R266+N267))</f>
        <v>0</v>
      </c>
      <c r="Q267" s="4" t="n">
        <f aca="false">Q266+P267</f>
        <v>7925.01303652649</v>
      </c>
      <c r="R267" s="4" t="n">
        <f aca="false">O267+Q267</f>
        <v>19706.6454293983</v>
      </c>
    </row>
    <row r="268" customFormat="false" ht="15" hidden="false" customHeight="false" outlineLevel="0" collapsed="false">
      <c r="A268" s="2" t="s">
        <v>47</v>
      </c>
      <c r="B268" s="2" t="s">
        <v>39</v>
      </c>
      <c r="C268" s="12" t="n">
        <v>0</v>
      </c>
      <c r="D268" s="13" t="s">
        <v>248</v>
      </c>
      <c r="E268" s="4" t="n">
        <f aca="false">0</f>
        <v>0</v>
      </c>
      <c r="F268" s="4" t="n">
        <f aca="false">E268*(1-情景参数!D9)</f>
        <v>0</v>
      </c>
      <c r="G268" s="4" t="n">
        <f aca="false">0</f>
        <v>0</v>
      </c>
      <c r="H268" s="4" t="n">
        <f aca="false">0</f>
        <v>0</v>
      </c>
      <c r="I268" s="4" t="n">
        <f aca="false">0</f>
        <v>0</v>
      </c>
      <c r="J268" s="4" t="n">
        <f aca="false">(F268-I268)*(1-情景参数!F9)</f>
        <v>0</v>
      </c>
      <c r="K268" s="4" t="n">
        <f aca="false">偿债原表!C2</f>
        <v>0</v>
      </c>
      <c r="L268" s="4" t="n">
        <f aca="false">偿债原表!D2</f>
        <v>1374.2</v>
      </c>
      <c r="M268" s="4" t="n">
        <f aca="false">K268+L268</f>
        <v>1374.2</v>
      </c>
      <c r="N268" s="4" t="n">
        <f aca="false">J268-M268</f>
        <v>-1374.2</v>
      </c>
      <c r="O268" s="4" t="n">
        <f aca="false">N268</f>
        <v>-1374.2</v>
      </c>
      <c r="P268" s="4" t="n">
        <f aca="false">MAX(0,-N268)</f>
        <v>1374.2</v>
      </c>
      <c r="Q268" s="4" t="n">
        <f aca="false">P268</f>
        <v>1374.2</v>
      </c>
      <c r="R268" s="4" t="n">
        <f aca="false">O268+Q268</f>
        <v>0</v>
      </c>
    </row>
    <row r="269" customFormat="false" ht="15" hidden="false" customHeight="false" outlineLevel="0" collapsed="false">
      <c r="A269" s="2" t="s">
        <v>47</v>
      </c>
      <c r="B269" s="2" t="s">
        <v>39</v>
      </c>
      <c r="C269" s="12" t="n">
        <v>1</v>
      </c>
      <c r="D269" s="12" t="n">
        <v>2024</v>
      </c>
      <c r="E269" s="4" t="n">
        <f aca="false">INDEX(驱动复算!A2:X2,1,情景参数!B9)</f>
        <v>0</v>
      </c>
      <c r="F269" s="4" t="n">
        <f aca="false">E269*(1-情景参数!D9)</f>
        <v>0</v>
      </c>
      <c r="G269" s="4" t="n">
        <f aca="false">IF(情景参数!E9="原表",驱动复算!U2-驱动复算!W2,驱动复算!P2)</f>
        <v>0</v>
      </c>
      <c r="H269" s="4" t="n">
        <f aca="false">IF(情景参数!E9="原表",驱动复算!W2,F269*情景参数!C9)</f>
        <v>0</v>
      </c>
      <c r="I269" s="4" t="n">
        <f aca="false">IF(情景参数!E9="原表",驱动复算!U2,G269+H269)</f>
        <v>0</v>
      </c>
      <c r="J269" s="4" t="n">
        <f aca="false">(F269-I269)*(1-情景参数!F9)</f>
        <v>0</v>
      </c>
      <c r="K269" s="4" t="n">
        <f aca="false">偿债原表!C3</f>
        <v>0</v>
      </c>
      <c r="L269" s="4" t="n">
        <f aca="false">偿债原表!D3</f>
        <v>1093.2</v>
      </c>
      <c r="M269" s="4" t="n">
        <f aca="false">K269+L269</f>
        <v>1093.2</v>
      </c>
      <c r="N269" s="4" t="n">
        <f aca="false">J269-M269</f>
        <v>-1093.2</v>
      </c>
      <c r="O269" s="4" t="n">
        <f aca="false">O268+N269</f>
        <v>-2467.4</v>
      </c>
      <c r="P269" s="4" t="n">
        <f aca="false">MAX(0,-(R268+N269))</f>
        <v>1093.2</v>
      </c>
      <c r="Q269" s="4" t="n">
        <f aca="false">Q268+P269</f>
        <v>2467.4</v>
      </c>
      <c r="R269" s="4" t="n">
        <f aca="false">O269+Q269</f>
        <v>0</v>
      </c>
    </row>
    <row r="270" customFormat="false" ht="15" hidden="false" customHeight="false" outlineLevel="0" collapsed="false">
      <c r="A270" s="2" t="s">
        <v>47</v>
      </c>
      <c r="B270" s="2" t="s">
        <v>39</v>
      </c>
      <c r="C270" s="12" t="n">
        <v>2</v>
      </c>
      <c r="D270" s="12" t="n">
        <v>2025</v>
      </c>
      <c r="E270" s="4" t="n">
        <f aca="false">INDEX(驱动复算!A3:X3,1,情景参数!B9)</f>
        <v>0</v>
      </c>
      <c r="F270" s="4" t="n">
        <f aca="false">E270*(1-情景参数!D9)</f>
        <v>0</v>
      </c>
      <c r="G270" s="4" t="n">
        <f aca="false">IF(情景参数!E9="原表",驱动复算!U3-驱动复算!W3,驱动复算!P3)</f>
        <v>0</v>
      </c>
      <c r="H270" s="4" t="n">
        <f aca="false">IF(情景参数!E9="原表",驱动复算!W3,F270*情景参数!C9)</f>
        <v>0</v>
      </c>
      <c r="I270" s="4" t="n">
        <f aca="false">IF(情景参数!E9="原表",驱动复算!U3,G270+H270)</f>
        <v>0</v>
      </c>
      <c r="J270" s="4" t="n">
        <f aca="false">(F270-I270)*(1-情景参数!F9)</f>
        <v>0</v>
      </c>
      <c r="K270" s="4" t="n">
        <f aca="false">偿债原表!C4</f>
        <v>0</v>
      </c>
      <c r="L270" s="4" t="n">
        <f aca="false">偿债原表!D4</f>
        <v>1093.2</v>
      </c>
      <c r="M270" s="4" t="n">
        <f aca="false">K270+L270</f>
        <v>1093.2</v>
      </c>
      <c r="N270" s="4" t="n">
        <f aca="false">J270-M270</f>
        <v>-1093.2</v>
      </c>
      <c r="O270" s="4" t="n">
        <f aca="false">O269+N270</f>
        <v>-3560.6</v>
      </c>
      <c r="P270" s="4" t="n">
        <f aca="false">MAX(0,-(R269+N270))</f>
        <v>1093.2</v>
      </c>
      <c r="Q270" s="4" t="n">
        <f aca="false">Q269+P270</f>
        <v>3560.6</v>
      </c>
      <c r="R270" s="4" t="n">
        <f aca="false">O270+Q270</f>
        <v>0</v>
      </c>
    </row>
    <row r="271" customFormat="false" ht="15" hidden="false" customHeight="false" outlineLevel="0" collapsed="false">
      <c r="A271" s="2" t="s">
        <v>47</v>
      </c>
      <c r="B271" s="2" t="s">
        <v>39</v>
      </c>
      <c r="C271" s="12" t="n">
        <v>3</v>
      </c>
      <c r="D271" s="12" t="n">
        <v>2026</v>
      </c>
      <c r="E271" s="4" t="n">
        <f aca="false">INDEX(驱动复算!A4:X4,1,情景参数!B9)</f>
        <v>0</v>
      </c>
      <c r="F271" s="4" t="n">
        <f aca="false">E271*(1-情景参数!D9)</f>
        <v>0</v>
      </c>
      <c r="G271" s="4" t="n">
        <f aca="false">IF(情景参数!E9="原表",驱动复算!U4-驱动复算!W4,驱动复算!P4)</f>
        <v>0</v>
      </c>
      <c r="H271" s="4" t="n">
        <f aca="false">IF(情景参数!E9="原表",驱动复算!W4,F271*情景参数!C9)</f>
        <v>0</v>
      </c>
      <c r="I271" s="4" t="n">
        <f aca="false">IF(情景参数!E9="原表",驱动复算!U4,G271+H271)</f>
        <v>0</v>
      </c>
      <c r="J271" s="4" t="n">
        <f aca="false">(F271-I271)*(1-情景参数!F9)</f>
        <v>0</v>
      </c>
      <c r="K271" s="4" t="n">
        <f aca="false">偿债原表!C5</f>
        <v>0</v>
      </c>
      <c r="L271" s="4" t="n">
        <f aca="false">偿债原表!D5</f>
        <v>1093.2</v>
      </c>
      <c r="M271" s="4" t="n">
        <f aca="false">K271+L271</f>
        <v>1093.2</v>
      </c>
      <c r="N271" s="4" t="n">
        <f aca="false">J271-M271</f>
        <v>-1093.2</v>
      </c>
      <c r="O271" s="4" t="n">
        <f aca="false">O270+N271</f>
        <v>-4653.8</v>
      </c>
      <c r="P271" s="4" t="n">
        <f aca="false">MAX(0,-(R270+N271))</f>
        <v>1093.2</v>
      </c>
      <c r="Q271" s="4" t="n">
        <f aca="false">Q270+P271</f>
        <v>4653.8</v>
      </c>
      <c r="R271" s="4" t="n">
        <f aca="false">O271+Q271</f>
        <v>0</v>
      </c>
    </row>
    <row r="272" customFormat="false" ht="15" hidden="false" customHeight="false" outlineLevel="0" collapsed="false">
      <c r="A272" s="2" t="s">
        <v>47</v>
      </c>
      <c r="B272" s="2" t="s">
        <v>39</v>
      </c>
      <c r="C272" s="12" t="n">
        <v>4</v>
      </c>
      <c r="D272" s="12" t="n">
        <v>2027</v>
      </c>
      <c r="E272" s="4" t="n">
        <f aca="false">INDEX(驱动复算!A5:X5,1,情景参数!B9)</f>
        <v>0</v>
      </c>
      <c r="F272" s="4" t="n">
        <f aca="false">E272*(1-情景参数!D9)</f>
        <v>0</v>
      </c>
      <c r="G272" s="4" t="n">
        <f aca="false">IF(情景参数!E9="原表",驱动复算!U5-驱动复算!W5,驱动复算!P5)</f>
        <v>0</v>
      </c>
      <c r="H272" s="4" t="n">
        <f aca="false">IF(情景参数!E9="原表",驱动复算!W5,F272*情景参数!C9)</f>
        <v>0</v>
      </c>
      <c r="I272" s="4" t="n">
        <f aca="false">IF(情景参数!E9="原表",驱动复算!U5,G272+H272)</f>
        <v>0</v>
      </c>
      <c r="J272" s="4" t="n">
        <f aca="false">(F272-I272)*(1-情景参数!F9)</f>
        <v>0</v>
      </c>
      <c r="K272" s="4" t="n">
        <f aca="false">偿债原表!C6</f>
        <v>0</v>
      </c>
      <c r="L272" s="4" t="n">
        <f aca="false">偿债原表!D6</f>
        <v>1093.2</v>
      </c>
      <c r="M272" s="4" t="n">
        <f aca="false">K272+L272</f>
        <v>1093.2</v>
      </c>
      <c r="N272" s="4" t="n">
        <f aca="false">J272-M272</f>
        <v>-1093.2</v>
      </c>
      <c r="O272" s="4" t="n">
        <f aca="false">O271+N272</f>
        <v>-5747</v>
      </c>
      <c r="P272" s="4" t="n">
        <f aca="false">MAX(0,-(R271+N272))</f>
        <v>1093.2</v>
      </c>
      <c r="Q272" s="4" t="n">
        <f aca="false">Q271+P272</f>
        <v>5747</v>
      </c>
      <c r="R272" s="4" t="n">
        <f aca="false">O272+Q272</f>
        <v>0</v>
      </c>
    </row>
    <row r="273" customFormat="false" ht="15" hidden="false" customHeight="false" outlineLevel="0" collapsed="false">
      <c r="A273" s="2" t="s">
        <v>47</v>
      </c>
      <c r="B273" s="2" t="s">
        <v>39</v>
      </c>
      <c r="C273" s="12" t="n">
        <v>5</v>
      </c>
      <c r="D273" s="12" t="n">
        <v>2028</v>
      </c>
      <c r="E273" s="4" t="n">
        <f aca="false">INDEX(驱动复算!A6:X6,1,情景参数!B9)</f>
        <v>9076.9048</v>
      </c>
      <c r="F273" s="4" t="n">
        <f aca="false">E273*(1-情景参数!D9)</f>
        <v>9076.9048</v>
      </c>
      <c r="G273" s="4" t="n">
        <f aca="false">IF(情景参数!E9="原表",驱动复算!U6-驱动复算!W6,驱动复算!P6)</f>
        <v>7355</v>
      </c>
      <c r="H273" s="4" t="n">
        <f aca="false">IF(情景参数!E9="原表",驱动复算!W6,F273*情景参数!C9)</f>
        <v>453.84524</v>
      </c>
      <c r="I273" s="4" t="n">
        <f aca="false">IF(情景参数!E9="原表",驱动复算!U6,G273+H273)</f>
        <v>7808.84524</v>
      </c>
      <c r="J273" s="4" t="n">
        <f aca="false">(F273-I273)*(1-情景参数!F9)</f>
        <v>1268.05956</v>
      </c>
      <c r="K273" s="4" t="n">
        <f aca="false">偿债原表!C7</f>
        <v>11000</v>
      </c>
      <c r="L273" s="4" t="n">
        <f aca="false">偿债原表!D7</f>
        <v>1093.2</v>
      </c>
      <c r="M273" s="4" t="n">
        <f aca="false">K273+L273</f>
        <v>12093.2</v>
      </c>
      <c r="N273" s="4" t="n">
        <f aca="false">J273-M273</f>
        <v>-10825.14044</v>
      </c>
      <c r="O273" s="4" t="n">
        <f aca="false">O272+N273</f>
        <v>-16572.14044</v>
      </c>
      <c r="P273" s="4" t="n">
        <f aca="false">MAX(0,-(R272+N273))</f>
        <v>10825.14044</v>
      </c>
      <c r="Q273" s="4" t="n">
        <f aca="false">Q272+P273</f>
        <v>16572.14044</v>
      </c>
      <c r="R273" s="4" t="n">
        <f aca="false">O273+Q273</f>
        <v>0</v>
      </c>
    </row>
    <row r="274" customFormat="false" ht="15" hidden="false" customHeight="false" outlineLevel="0" collapsed="false">
      <c r="A274" s="2" t="s">
        <v>47</v>
      </c>
      <c r="B274" s="2" t="s">
        <v>39</v>
      </c>
      <c r="C274" s="12" t="n">
        <v>6</v>
      </c>
      <c r="D274" s="12" t="n">
        <v>2029</v>
      </c>
      <c r="E274" s="4" t="n">
        <f aca="false">INDEX(驱动复算!A7:X7,1,情景参数!B9)</f>
        <v>9911.9048</v>
      </c>
      <c r="F274" s="4" t="n">
        <f aca="false">E274*(1-情景参数!D9)</f>
        <v>9911.9048</v>
      </c>
      <c r="G274" s="4" t="n">
        <f aca="false">IF(情景参数!E9="原表",驱动复算!U7-驱动复算!W7,驱动复算!P7)</f>
        <v>7575.65</v>
      </c>
      <c r="H274" s="4" t="n">
        <f aca="false">IF(情景参数!E9="原表",驱动复算!W7,F274*情景参数!C9)</f>
        <v>495.59524</v>
      </c>
      <c r="I274" s="4" t="n">
        <f aca="false">IF(情景参数!E9="原表",驱动复算!U7,G274+H274)</f>
        <v>8071.24524</v>
      </c>
      <c r="J274" s="4" t="n">
        <f aca="false">(F274-I274)*(1-情景参数!F9)</f>
        <v>1840.65956</v>
      </c>
      <c r="K274" s="4" t="n">
        <f aca="false">偿债原表!C8</f>
        <v>0</v>
      </c>
      <c r="L274" s="4" t="n">
        <f aca="false">偿债原表!D8</f>
        <v>730.2</v>
      </c>
      <c r="M274" s="4" t="n">
        <f aca="false">K274+L274</f>
        <v>730.2</v>
      </c>
      <c r="N274" s="4" t="n">
        <f aca="false">J274-M274</f>
        <v>1110.45956</v>
      </c>
      <c r="O274" s="4" t="n">
        <f aca="false">O273+N274</f>
        <v>-15461.68088</v>
      </c>
      <c r="P274" s="4" t="n">
        <f aca="false">MAX(0,-(R273+N274))</f>
        <v>0</v>
      </c>
      <c r="Q274" s="4" t="n">
        <f aca="false">Q273+P274</f>
        <v>16572.14044</v>
      </c>
      <c r="R274" s="4" t="n">
        <f aca="false">O274+Q274</f>
        <v>1110.45956</v>
      </c>
    </row>
    <row r="275" customFormat="false" ht="15" hidden="false" customHeight="false" outlineLevel="0" collapsed="false">
      <c r="A275" s="2" t="s">
        <v>47</v>
      </c>
      <c r="B275" s="2" t="s">
        <v>39</v>
      </c>
      <c r="C275" s="12" t="n">
        <v>7</v>
      </c>
      <c r="D275" s="12" t="n">
        <v>2030</v>
      </c>
      <c r="E275" s="4" t="n">
        <f aca="false">INDEX(驱动复算!A8:X8,1,情景参数!B9)</f>
        <v>10830.4048</v>
      </c>
      <c r="F275" s="4" t="n">
        <f aca="false">E275*(1-情景参数!D9)</f>
        <v>10830.4048</v>
      </c>
      <c r="G275" s="4" t="n">
        <f aca="false">IF(情景参数!E9="原表",驱动复算!U8-驱动复算!W8,驱动复算!P8)</f>
        <v>7802.9195</v>
      </c>
      <c r="H275" s="4" t="n">
        <f aca="false">IF(情景参数!E9="原表",驱动复算!W8,F275*情景参数!C9)</f>
        <v>541.52024</v>
      </c>
      <c r="I275" s="4" t="n">
        <f aca="false">IF(情景参数!E9="原表",驱动复算!U8,G275+H275)</f>
        <v>8344.43974</v>
      </c>
      <c r="J275" s="4" t="n">
        <f aca="false">(F275-I275)*(1-情景参数!F9)</f>
        <v>2485.96506</v>
      </c>
      <c r="K275" s="4" t="n">
        <f aca="false">偿债原表!C9</f>
        <v>0</v>
      </c>
      <c r="L275" s="4" t="n">
        <f aca="false">偿债原表!D9</f>
        <v>730.2</v>
      </c>
      <c r="M275" s="4" t="n">
        <f aca="false">K275+L275</f>
        <v>730.2</v>
      </c>
      <c r="N275" s="4" t="n">
        <f aca="false">J275-M275</f>
        <v>1755.76506</v>
      </c>
      <c r="O275" s="4" t="n">
        <f aca="false">O274+N275</f>
        <v>-13705.91582</v>
      </c>
      <c r="P275" s="4" t="n">
        <f aca="false">MAX(0,-(R274+N275))</f>
        <v>0</v>
      </c>
      <c r="Q275" s="4" t="n">
        <f aca="false">Q274+P275</f>
        <v>16572.14044</v>
      </c>
      <c r="R275" s="4" t="n">
        <f aca="false">O275+Q275</f>
        <v>2866.22462</v>
      </c>
    </row>
    <row r="276" customFormat="false" ht="15" hidden="false" customHeight="false" outlineLevel="0" collapsed="false">
      <c r="A276" s="2" t="s">
        <v>47</v>
      </c>
      <c r="B276" s="2" t="s">
        <v>39</v>
      </c>
      <c r="C276" s="12" t="n">
        <v>8</v>
      </c>
      <c r="D276" s="12" t="n">
        <v>2031</v>
      </c>
      <c r="E276" s="4" t="n">
        <f aca="false">INDEX(驱动复算!A9:X9,1,情景参数!B9)</f>
        <v>11840.7548</v>
      </c>
      <c r="F276" s="4" t="n">
        <f aca="false">E276*(1-情景参数!D9)</f>
        <v>11840.7548</v>
      </c>
      <c r="G276" s="4" t="n">
        <f aca="false">IF(情景参数!E9="原表",驱动复算!U9-驱动复算!W9,驱动复算!P9)</f>
        <v>8037.007085</v>
      </c>
      <c r="H276" s="4" t="n">
        <f aca="false">IF(情景参数!E9="原表",驱动复算!W9,F276*情景参数!C9)</f>
        <v>592.03774</v>
      </c>
      <c r="I276" s="4" t="n">
        <f aca="false">IF(情景参数!E9="原表",驱动复算!U9,G276+H276)</f>
        <v>8629.044825</v>
      </c>
      <c r="J276" s="4" t="n">
        <f aca="false">(F276-I276)*(1-情景参数!F9)</f>
        <v>3211.709975</v>
      </c>
      <c r="K276" s="4" t="n">
        <f aca="false">偿债原表!C10</f>
        <v>0</v>
      </c>
      <c r="L276" s="4" t="n">
        <f aca="false">偿债原表!D10</f>
        <v>730.2</v>
      </c>
      <c r="M276" s="4" t="n">
        <f aca="false">K276+L276</f>
        <v>730.2</v>
      </c>
      <c r="N276" s="4" t="n">
        <f aca="false">J276-M276</f>
        <v>2481.509975</v>
      </c>
      <c r="O276" s="4" t="n">
        <f aca="false">O275+N276</f>
        <v>-11224.405845</v>
      </c>
      <c r="P276" s="4" t="n">
        <f aca="false">MAX(0,-(R275+N276))</f>
        <v>0</v>
      </c>
      <c r="Q276" s="4" t="n">
        <f aca="false">Q275+P276</f>
        <v>16572.14044</v>
      </c>
      <c r="R276" s="4" t="n">
        <f aca="false">O276+Q276</f>
        <v>5347.734595</v>
      </c>
    </row>
    <row r="277" customFormat="false" ht="15" hidden="false" customHeight="false" outlineLevel="0" collapsed="false">
      <c r="A277" s="2" t="s">
        <v>47</v>
      </c>
      <c r="B277" s="2" t="s">
        <v>39</v>
      </c>
      <c r="C277" s="12" t="n">
        <v>9</v>
      </c>
      <c r="D277" s="12" t="n">
        <v>2032</v>
      </c>
      <c r="E277" s="4" t="n">
        <f aca="false">INDEX(驱动复算!A10:X10,1,情景参数!B9)</f>
        <v>12952.1398</v>
      </c>
      <c r="F277" s="4" t="n">
        <f aca="false">E277*(1-情景参数!D9)</f>
        <v>12952.1398</v>
      </c>
      <c r="G277" s="4" t="n">
        <f aca="false">IF(情景参数!E9="原表",驱动复算!U10-驱动复算!W10,驱动复算!P10)</f>
        <v>8278.11729755</v>
      </c>
      <c r="H277" s="4" t="n">
        <f aca="false">IF(情景参数!E9="原表",驱动复算!W10,F277*情景参数!C9)</f>
        <v>647.60699</v>
      </c>
      <c r="I277" s="4" t="n">
        <f aca="false">IF(情景参数!E9="原表",驱动复算!U10,G277+H277)</f>
        <v>8925.72428755</v>
      </c>
      <c r="J277" s="4" t="n">
        <f aca="false">(F277-I277)*(1-情景参数!F9)</f>
        <v>4026.41551245</v>
      </c>
      <c r="K277" s="4" t="n">
        <f aca="false">偿债原表!C11</f>
        <v>2000</v>
      </c>
      <c r="L277" s="4" t="n">
        <f aca="false">偿债原表!D11</f>
        <v>730.2</v>
      </c>
      <c r="M277" s="4" t="n">
        <f aca="false">K277+L277</f>
        <v>2730.2</v>
      </c>
      <c r="N277" s="4" t="n">
        <f aca="false">J277-M277</f>
        <v>1296.21551245</v>
      </c>
      <c r="O277" s="4" t="n">
        <f aca="false">O276+N277</f>
        <v>-9928.19033255</v>
      </c>
      <c r="P277" s="4" t="n">
        <f aca="false">MAX(0,-(R276+N277))</f>
        <v>0</v>
      </c>
      <c r="Q277" s="4" t="n">
        <f aca="false">Q276+P277</f>
        <v>16572.14044</v>
      </c>
      <c r="R277" s="4" t="n">
        <f aca="false">O277+Q277</f>
        <v>6643.95010745</v>
      </c>
    </row>
    <row r="278" customFormat="false" ht="15" hidden="false" customHeight="false" outlineLevel="0" collapsed="false">
      <c r="A278" s="2" t="s">
        <v>47</v>
      </c>
      <c r="B278" s="2" t="s">
        <v>39</v>
      </c>
      <c r="C278" s="12" t="n">
        <v>10</v>
      </c>
      <c r="D278" s="12" t="n">
        <v>2033</v>
      </c>
      <c r="E278" s="4" t="n">
        <f aca="false">INDEX(驱动复算!A11:X11,1,情景参数!B9)</f>
        <v>13654.92603</v>
      </c>
      <c r="F278" s="4" t="n">
        <f aca="false">E278*(1-情景参数!D9)</f>
        <v>13654.92603</v>
      </c>
      <c r="G278" s="4" t="n">
        <f aca="false">IF(情景参数!E9="原表",驱动复算!U11-驱动复算!W11,驱动复算!P11)</f>
        <v>8526.4608164765</v>
      </c>
      <c r="H278" s="4" t="n">
        <f aca="false">IF(情景参数!E9="原表",驱动复算!W11,F278*情景参数!C9)</f>
        <v>682.7463015</v>
      </c>
      <c r="I278" s="4" t="n">
        <f aca="false">IF(情景参数!E9="原表",驱动复算!U11,G278+H278)</f>
        <v>9209.2071179765</v>
      </c>
      <c r="J278" s="4" t="n">
        <f aca="false">(F278-I278)*(1-情景参数!F9)</f>
        <v>4445.7189120235</v>
      </c>
      <c r="K278" s="4" t="n">
        <f aca="false">偿债原表!C12</f>
        <v>0</v>
      </c>
      <c r="L278" s="4" t="n">
        <f aca="false">偿债原表!D12</f>
        <v>673.2</v>
      </c>
      <c r="M278" s="4" t="n">
        <f aca="false">K278+L278</f>
        <v>673.2</v>
      </c>
      <c r="N278" s="4" t="n">
        <f aca="false">J278-M278</f>
        <v>3772.5189120235</v>
      </c>
      <c r="O278" s="4" t="n">
        <f aca="false">O277+N278</f>
        <v>-6155.6714205265</v>
      </c>
      <c r="P278" s="4" t="n">
        <f aca="false">MAX(0,-(R277+N278))</f>
        <v>0</v>
      </c>
      <c r="Q278" s="4" t="n">
        <f aca="false">Q277+P278</f>
        <v>16572.14044</v>
      </c>
      <c r="R278" s="4" t="n">
        <f aca="false">O278+Q278</f>
        <v>10416.4690194735</v>
      </c>
    </row>
    <row r="279" customFormat="false" ht="15" hidden="false" customHeight="false" outlineLevel="0" collapsed="false">
      <c r="A279" s="2" t="s">
        <v>47</v>
      </c>
      <c r="B279" s="2" t="s">
        <v>39</v>
      </c>
      <c r="C279" s="12" t="n">
        <v>11</v>
      </c>
      <c r="D279" s="12" t="n">
        <v>2034</v>
      </c>
      <c r="E279" s="4" t="n">
        <f aca="false">INDEX(驱动复算!A12:X12,1,情景参数!B9)</f>
        <v>14296.7508675</v>
      </c>
      <c r="F279" s="4" t="n">
        <f aca="false">E279*(1-情景参数!D9)</f>
        <v>14296.7508675</v>
      </c>
      <c r="G279" s="4" t="n">
        <f aca="false">IF(情景参数!E9="原表",驱动复算!U12-驱动复算!W12,驱动复算!P12)</f>
        <v>8782.2546409708</v>
      </c>
      <c r="H279" s="4" t="n">
        <f aca="false">IF(情景参数!E9="原表",驱动复算!W12,F279*情景参数!C9)</f>
        <v>714.837543375</v>
      </c>
      <c r="I279" s="4" t="n">
        <f aca="false">IF(情景参数!E9="原表",驱动复算!U12,G279+H279)</f>
        <v>9497.0921843458</v>
      </c>
      <c r="J279" s="4" t="n">
        <f aca="false">(F279-I279)*(1-情景参数!F9)</f>
        <v>4799.65868315421</v>
      </c>
      <c r="K279" s="4" t="n">
        <f aca="false">偿债原表!C13</f>
        <v>0</v>
      </c>
      <c r="L279" s="4" t="n">
        <f aca="false">偿债原表!D13</f>
        <v>673.2</v>
      </c>
      <c r="M279" s="4" t="n">
        <f aca="false">K279+L279</f>
        <v>673.2</v>
      </c>
      <c r="N279" s="4" t="n">
        <f aca="false">J279-M279</f>
        <v>4126.45868315421</v>
      </c>
      <c r="O279" s="4" t="n">
        <f aca="false">O278+N279</f>
        <v>-2029.21273737229</v>
      </c>
      <c r="P279" s="4" t="n">
        <f aca="false">MAX(0,-(R278+N279))</f>
        <v>0</v>
      </c>
      <c r="Q279" s="4" t="n">
        <f aca="false">Q278+P279</f>
        <v>16572.14044</v>
      </c>
      <c r="R279" s="4" t="n">
        <f aca="false">O279+Q279</f>
        <v>14542.9277026277</v>
      </c>
    </row>
    <row r="280" customFormat="false" ht="15" hidden="false" customHeight="false" outlineLevel="0" collapsed="false">
      <c r="A280" s="2" t="s">
        <v>47</v>
      </c>
      <c r="B280" s="2" t="s">
        <v>39</v>
      </c>
      <c r="C280" s="12" t="n">
        <v>12</v>
      </c>
      <c r="D280" s="12" t="n">
        <v>2035</v>
      </c>
      <c r="E280" s="4" t="n">
        <f aca="false">INDEX(驱动复算!A13:X13,1,情景参数!B9)</f>
        <v>14970.666946875</v>
      </c>
      <c r="F280" s="4" t="n">
        <f aca="false">E280*(1-情景参数!D9)</f>
        <v>14970.666946875</v>
      </c>
      <c r="G280" s="4" t="n">
        <f aca="false">IF(情景参数!E9="原表",驱动复算!U13-驱动复算!W13,驱动复算!P13)</f>
        <v>9045.72228019992</v>
      </c>
      <c r="H280" s="4" t="n">
        <f aca="false">IF(情景参数!E9="原表",驱动复算!W13,F280*情景参数!C9)</f>
        <v>748.53334734375</v>
      </c>
      <c r="I280" s="4" t="n">
        <f aca="false">IF(情景参数!E9="原表",驱动复算!U13,G280+H280)</f>
        <v>9794.25562754367</v>
      </c>
      <c r="J280" s="4" t="n">
        <f aca="false">(F280-I280)*(1-情景参数!F9)</f>
        <v>5176.41131933134</v>
      </c>
      <c r="K280" s="4" t="n">
        <f aca="false">偿债原表!C14</f>
        <v>0</v>
      </c>
      <c r="L280" s="4" t="n">
        <f aca="false">偿债原表!D14</f>
        <v>673.2</v>
      </c>
      <c r="M280" s="4" t="n">
        <f aca="false">K280+L280</f>
        <v>673.2</v>
      </c>
      <c r="N280" s="4" t="n">
        <f aca="false">J280-M280</f>
        <v>4503.21131933134</v>
      </c>
      <c r="O280" s="4" t="n">
        <f aca="false">O279+N280</f>
        <v>2473.99858195905</v>
      </c>
      <c r="P280" s="4" t="n">
        <f aca="false">MAX(0,-(R279+N280))</f>
        <v>0</v>
      </c>
      <c r="Q280" s="4" t="n">
        <f aca="false">Q279+P280</f>
        <v>16572.14044</v>
      </c>
      <c r="R280" s="4" t="n">
        <f aca="false">O280+Q280</f>
        <v>19046.1390219591</v>
      </c>
    </row>
    <row r="281" customFormat="false" ht="15" hidden="false" customHeight="false" outlineLevel="0" collapsed="false">
      <c r="A281" s="2" t="s">
        <v>47</v>
      </c>
      <c r="B281" s="2" t="s">
        <v>39</v>
      </c>
      <c r="C281" s="12" t="n">
        <v>13</v>
      </c>
      <c r="D281" s="12" t="n">
        <v>2036</v>
      </c>
      <c r="E281" s="4" t="n">
        <f aca="false">INDEX(驱动复算!A14:X14,1,情景参数!B9)</f>
        <v>15678.2788302188</v>
      </c>
      <c r="F281" s="4" t="n">
        <f aca="false">E281*(1-情景参数!D9)</f>
        <v>15678.2788302188</v>
      </c>
      <c r="G281" s="4" t="n">
        <f aca="false">IF(情景参数!E9="原表",驱动复算!U14-驱动复算!W14,驱动复算!P14)</f>
        <v>9317.09394860592</v>
      </c>
      <c r="H281" s="4" t="n">
        <f aca="false">IF(情景参数!E9="原表",驱动复算!W14,F281*情景参数!C9)</f>
        <v>783.913941510938</v>
      </c>
      <c r="I281" s="4" t="n">
        <f aca="false">IF(情景参数!E9="原表",驱动复算!U14,G281+H281)</f>
        <v>10101.0078901169</v>
      </c>
      <c r="J281" s="4" t="n">
        <f aca="false">(F281-I281)*(1-情景参数!F9)</f>
        <v>5577.2709401019</v>
      </c>
      <c r="K281" s="4" t="n">
        <f aca="false">偿债原表!C15</f>
        <v>0</v>
      </c>
      <c r="L281" s="4" t="n">
        <f aca="false">偿债原表!D15</f>
        <v>673.2</v>
      </c>
      <c r="M281" s="4" t="n">
        <f aca="false">K281+L281</f>
        <v>673.2</v>
      </c>
      <c r="N281" s="4" t="n">
        <f aca="false">J281-M281</f>
        <v>4904.0709401019</v>
      </c>
      <c r="O281" s="4" t="n">
        <f aca="false">O280+N281</f>
        <v>7378.06952206095</v>
      </c>
      <c r="P281" s="4" t="n">
        <f aca="false">MAX(0,-(R280+N281))</f>
        <v>0</v>
      </c>
      <c r="Q281" s="4" t="n">
        <f aca="false">Q280+P281</f>
        <v>16572.14044</v>
      </c>
      <c r="R281" s="4" t="n">
        <f aca="false">O281+Q281</f>
        <v>23950.209962061</v>
      </c>
    </row>
    <row r="282" customFormat="false" ht="15" hidden="false" customHeight="false" outlineLevel="0" collapsed="false">
      <c r="A282" s="2" t="s">
        <v>47</v>
      </c>
      <c r="B282" s="2" t="s">
        <v>39</v>
      </c>
      <c r="C282" s="12" t="n">
        <v>14</v>
      </c>
      <c r="D282" s="12" t="n">
        <v>2037</v>
      </c>
      <c r="E282" s="4" t="n">
        <f aca="false">INDEX(驱动复算!A15:X15,1,情景参数!B9)</f>
        <v>16421.2713077297</v>
      </c>
      <c r="F282" s="4" t="n">
        <f aca="false">E282*(1-情景参数!D9)</f>
        <v>16421.2713077297</v>
      </c>
      <c r="G282" s="4" t="n">
        <f aca="false">IF(情景参数!E9="原表",驱动复算!U15-驱动复算!W15,驱动复算!P15)</f>
        <v>9596.6067670641</v>
      </c>
      <c r="H282" s="4" t="n">
        <f aca="false">IF(情景参数!E9="原表",驱动复算!W15,F282*情景参数!C9)</f>
        <v>821.063565386485</v>
      </c>
      <c r="I282" s="4" t="n">
        <f aca="false">IF(情景参数!E9="原表",驱动复算!U15,G282+H282)</f>
        <v>10417.6703324506</v>
      </c>
      <c r="J282" s="4" t="n">
        <f aca="false">(F282-I282)*(1-情景参数!F9)</f>
        <v>6003.60097527912</v>
      </c>
      <c r="K282" s="4" t="n">
        <f aca="false">偿债原表!C16</f>
        <v>1000</v>
      </c>
      <c r="L282" s="4" t="n">
        <f aca="false">偿债原表!D16</f>
        <v>673.2</v>
      </c>
      <c r="M282" s="4" t="n">
        <f aca="false">K282+L282</f>
        <v>1673.2</v>
      </c>
      <c r="N282" s="4" t="n">
        <f aca="false">J282-M282</f>
        <v>4330.40097527912</v>
      </c>
      <c r="O282" s="4" t="n">
        <f aca="false">O281+N282</f>
        <v>11708.4704973401</v>
      </c>
      <c r="P282" s="4" t="n">
        <f aca="false">MAX(0,-(R281+N282))</f>
        <v>0</v>
      </c>
      <c r="Q282" s="4" t="n">
        <f aca="false">Q281+P282</f>
        <v>16572.14044</v>
      </c>
      <c r="R282" s="4" t="n">
        <f aca="false">O282+Q282</f>
        <v>28280.6109373401</v>
      </c>
    </row>
    <row r="283" customFormat="false" ht="15" hidden="false" customHeight="false" outlineLevel="0" collapsed="false">
      <c r="A283" s="2" t="s">
        <v>47</v>
      </c>
      <c r="B283" s="2" t="s">
        <v>39</v>
      </c>
      <c r="C283" s="12" t="n">
        <v>15</v>
      </c>
      <c r="D283" s="12" t="n">
        <v>2038</v>
      </c>
      <c r="E283" s="4" t="n">
        <f aca="false">INDEX(驱动复算!A16:X16,1,情景参数!B9)</f>
        <v>16756.9170762843</v>
      </c>
      <c r="F283" s="4" t="n">
        <f aca="false">E283*(1-情景参数!D9)</f>
        <v>16756.9170762843</v>
      </c>
      <c r="G283" s="4" t="n">
        <f aca="false">IF(情景参数!E9="原表",驱动复算!U16-驱动复算!W16,驱动复算!P16)</f>
        <v>9884.50497007602</v>
      </c>
      <c r="H283" s="4" t="n">
        <f aca="false">IF(情景参数!E9="原表",驱动复算!W16,F283*情景参数!C9)</f>
        <v>837.845853814215</v>
      </c>
      <c r="I283" s="4" t="n">
        <f aca="false">IF(情景参数!E9="原表",驱动复算!U16,G283+H283)</f>
        <v>10722.3508238902</v>
      </c>
      <c r="J283" s="4" t="n">
        <f aca="false">(F283-I283)*(1-情景参数!F9)</f>
        <v>6034.56625239406</v>
      </c>
      <c r="K283" s="4" t="n">
        <f aca="false">偿债原表!C17</f>
        <v>0</v>
      </c>
      <c r="L283" s="4" t="n">
        <f aca="false">偿债原表!D17</f>
        <v>644</v>
      </c>
      <c r="M283" s="4" t="n">
        <f aca="false">K283+L283</f>
        <v>644</v>
      </c>
      <c r="N283" s="4" t="n">
        <f aca="false">J283-M283</f>
        <v>5390.56625239406</v>
      </c>
      <c r="O283" s="4" t="n">
        <f aca="false">O282+N283</f>
        <v>17099.0367497341</v>
      </c>
      <c r="P283" s="4" t="n">
        <f aca="false">MAX(0,-(R282+N283))</f>
        <v>0</v>
      </c>
      <c r="Q283" s="4" t="n">
        <f aca="false">Q282+P283</f>
        <v>16572.14044</v>
      </c>
      <c r="R283" s="4" t="n">
        <f aca="false">O283+Q283</f>
        <v>33671.1771897341</v>
      </c>
    </row>
    <row r="284" customFormat="false" ht="15" hidden="false" customHeight="false" outlineLevel="0" collapsed="false">
      <c r="A284" s="2" t="s">
        <v>47</v>
      </c>
      <c r="B284" s="2" t="s">
        <v>39</v>
      </c>
      <c r="C284" s="12" t="n">
        <v>16</v>
      </c>
      <c r="D284" s="12" t="n">
        <v>2039</v>
      </c>
      <c r="E284" s="4" t="n">
        <f aca="false">INDEX(驱动复算!A17:X17,1,情景参数!B9)</f>
        <v>17075.21505365</v>
      </c>
      <c r="F284" s="4" t="n">
        <f aca="false">E284*(1-情景参数!D9)</f>
        <v>17075.21505365</v>
      </c>
      <c r="G284" s="4" t="n">
        <f aca="false">IF(情景参数!E9="原表",驱动复算!U17-驱动复算!W17,驱动复算!P17)</f>
        <v>10181.0401191783</v>
      </c>
      <c r="H284" s="4" t="n">
        <f aca="false">IF(情景参数!E9="原表",驱动复算!W17,F284*情景参数!C9)</f>
        <v>853.760752682499</v>
      </c>
      <c r="I284" s="4" t="n">
        <f aca="false">IF(情景参数!E9="原表",驱动复算!U17,G284+H284)</f>
        <v>11034.8008718608</v>
      </c>
      <c r="J284" s="4" t="n">
        <f aca="false">(F284-I284)*(1-情景参数!F9)</f>
        <v>6040.41418178918</v>
      </c>
      <c r="K284" s="4" t="n">
        <f aca="false">偿债原表!C18</f>
        <v>0</v>
      </c>
      <c r="L284" s="4" t="n">
        <f aca="false">偿债原表!D18</f>
        <v>644</v>
      </c>
      <c r="M284" s="4" t="n">
        <f aca="false">K284+L284</f>
        <v>644</v>
      </c>
      <c r="N284" s="4" t="n">
        <f aca="false">J284-M284</f>
        <v>5396.41418178918</v>
      </c>
      <c r="O284" s="4" t="n">
        <f aca="false">O283+N284</f>
        <v>22495.4509315233</v>
      </c>
      <c r="P284" s="4" t="n">
        <f aca="false">MAX(0,-(R283+N284))</f>
        <v>0</v>
      </c>
      <c r="Q284" s="4" t="n">
        <f aca="false">Q283+P284</f>
        <v>16572.14044</v>
      </c>
      <c r="R284" s="4" t="n">
        <f aca="false">O284+Q284</f>
        <v>39067.5913715233</v>
      </c>
    </row>
    <row r="285" customFormat="false" ht="15" hidden="false" customHeight="false" outlineLevel="0" collapsed="false">
      <c r="A285" s="2" t="s">
        <v>47</v>
      </c>
      <c r="B285" s="2" t="s">
        <v>39</v>
      </c>
      <c r="C285" s="12" t="n">
        <v>17</v>
      </c>
      <c r="D285" s="12" t="n">
        <v>2040</v>
      </c>
      <c r="E285" s="4" t="n">
        <f aca="false">INDEX(驱动复算!A18:X18,1,情景参数!B9)</f>
        <v>17399.878990563</v>
      </c>
      <c r="F285" s="4" t="n">
        <f aca="false">E285*(1-情景参数!D9)</f>
        <v>17399.878990563</v>
      </c>
      <c r="G285" s="4" t="n">
        <f aca="false">IF(情景参数!E9="原表",驱动复算!U18-驱动复算!W18,驱动复算!P18)</f>
        <v>10486.4713227536</v>
      </c>
      <c r="H285" s="4" t="n">
        <f aca="false">IF(情景参数!E9="原表",驱动复算!W18,F285*情景参数!C9)</f>
        <v>869.993949528149</v>
      </c>
      <c r="I285" s="4" t="n">
        <f aca="false">IF(情景参数!E9="原表",驱动复算!U18,G285+H285)</f>
        <v>11356.4652722818</v>
      </c>
      <c r="J285" s="4" t="n">
        <f aca="false">(F285-I285)*(1-情景参数!F9)</f>
        <v>6043.41371828119</v>
      </c>
      <c r="K285" s="4" t="n">
        <f aca="false">偿债原表!C19</f>
        <v>0</v>
      </c>
      <c r="L285" s="4" t="n">
        <f aca="false">偿债原表!D19</f>
        <v>644</v>
      </c>
      <c r="M285" s="4" t="n">
        <f aca="false">K285+L285</f>
        <v>644</v>
      </c>
      <c r="N285" s="4" t="n">
        <f aca="false">J285-M285</f>
        <v>5399.41371828119</v>
      </c>
      <c r="O285" s="4" t="n">
        <f aca="false">O284+N285</f>
        <v>27894.8646498045</v>
      </c>
      <c r="P285" s="4" t="n">
        <f aca="false">MAX(0,-(R284+N285))</f>
        <v>0</v>
      </c>
      <c r="Q285" s="4" t="n">
        <f aca="false">Q284+P285</f>
        <v>16572.14044</v>
      </c>
      <c r="R285" s="4" t="n">
        <f aca="false">O285+Q285</f>
        <v>44467.0050898045</v>
      </c>
    </row>
    <row r="286" customFormat="false" ht="15" hidden="false" customHeight="false" outlineLevel="0" collapsed="false">
      <c r="A286" s="2" t="s">
        <v>47</v>
      </c>
      <c r="B286" s="2" t="s">
        <v>39</v>
      </c>
      <c r="C286" s="12" t="n">
        <v>18</v>
      </c>
      <c r="D286" s="12" t="n">
        <v>2041</v>
      </c>
      <c r="E286" s="4" t="n">
        <f aca="false">INDEX(驱动复算!A19:X19,1,情景参数!B9)</f>
        <v>17731.0362062142</v>
      </c>
      <c r="F286" s="4" t="n">
        <f aca="false">E286*(1-情景参数!D9)</f>
        <v>17731.0362062142</v>
      </c>
      <c r="G286" s="4" t="n">
        <f aca="false">IF(情景参数!E9="原表",驱动复算!U19-驱动复算!W19,驱动复算!P19)</f>
        <v>10801.0654624363</v>
      </c>
      <c r="H286" s="4" t="n">
        <f aca="false">IF(情景参数!E9="原表",驱动复算!W19,F286*情景参数!C9)</f>
        <v>886.551810310712</v>
      </c>
      <c r="I286" s="4" t="n">
        <f aca="false">IF(情景参数!E9="原表",驱动复算!U19,G286+H286)</f>
        <v>11687.617272747</v>
      </c>
      <c r="J286" s="4" t="n">
        <f aca="false">(F286-I286)*(1-情景参数!F9)</f>
        <v>6043.41893346727</v>
      </c>
      <c r="K286" s="4" t="n">
        <f aca="false">偿债原表!C20</f>
        <v>20000</v>
      </c>
      <c r="L286" s="4" t="n">
        <f aca="false">偿债原表!D20</f>
        <v>644</v>
      </c>
      <c r="M286" s="4" t="n">
        <f aca="false">K286+L286</f>
        <v>20644</v>
      </c>
      <c r="N286" s="4" t="n">
        <f aca="false">J286-M286</f>
        <v>-14600.5810665327</v>
      </c>
      <c r="O286" s="4" t="n">
        <f aca="false">O285+N286</f>
        <v>13294.2835832718</v>
      </c>
      <c r="P286" s="4" t="n">
        <f aca="false">MAX(0,-(R285+N286))</f>
        <v>0</v>
      </c>
      <c r="Q286" s="4" t="n">
        <f aca="false">Q285+P286</f>
        <v>16572.14044</v>
      </c>
      <c r="R286" s="4" t="n">
        <f aca="false">O286+Q286</f>
        <v>29866.4240232718</v>
      </c>
    </row>
    <row r="287" customFormat="false" ht="15" hidden="false" customHeight="false" outlineLevel="0" collapsed="false">
      <c r="A287" s="2" t="s">
        <v>47</v>
      </c>
      <c r="B287" s="2" t="s">
        <v>40</v>
      </c>
      <c r="C287" s="12" t="n">
        <v>0</v>
      </c>
      <c r="D287" s="13" t="s">
        <v>248</v>
      </c>
      <c r="E287" s="4" t="n">
        <f aca="false">0</f>
        <v>0</v>
      </c>
      <c r="F287" s="4" t="n">
        <f aca="false">E287*(1-情景参数!D9)</f>
        <v>0</v>
      </c>
      <c r="G287" s="4" t="n">
        <f aca="false">0</f>
        <v>0</v>
      </c>
      <c r="H287" s="4" t="n">
        <f aca="false">0</f>
        <v>0</v>
      </c>
      <c r="I287" s="4" t="n">
        <f aca="false">0</f>
        <v>0</v>
      </c>
      <c r="J287" s="4" t="n">
        <f aca="false">(F287-I287)*(1-情景参数!F9)</f>
        <v>0</v>
      </c>
      <c r="K287" s="4" t="n">
        <f aca="false">偿债原表!F2</f>
        <v>0</v>
      </c>
      <c r="L287" s="4" t="n">
        <f aca="false">偿债原表!G2</f>
        <v>1374.2</v>
      </c>
      <c r="M287" s="4" t="n">
        <f aca="false">K287+L287</f>
        <v>1374.2</v>
      </c>
      <c r="N287" s="4" t="n">
        <f aca="false">J287-M287</f>
        <v>-1374.2</v>
      </c>
      <c r="O287" s="4" t="n">
        <f aca="false">N287</f>
        <v>-1374.2</v>
      </c>
      <c r="P287" s="4" t="n">
        <f aca="false">MAX(0,-N287)</f>
        <v>1374.2</v>
      </c>
      <c r="Q287" s="4" t="n">
        <f aca="false">P287</f>
        <v>1374.2</v>
      </c>
      <c r="R287" s="4" t="n">
        <f aca="false">O287+Q287</f>
        <v>0</v>
      </c>
    </row>
    <row r="288" customFormat="false" ht="15" hidden="false" customHeight="false" outlineLevel="0" collapsed="false">
      <c r="A288" s="2" t="s">
        <v>47</v>
      </c>
      <c r="B288" s="2" t="s">
        <v>40</v>
      </c>
      <c r="C288" s="12" t="n">
        <v>1</v>
      </c>
      <c r="D288" s="12" t="n">
        <v>2024</v>
      </c>
      <c r="E288" s="4" t="n">
        <f aca="false">INDEX(驱动复算!A2:X2,1,情景参数!B9)</f>
        <v>0</v>
      </c>
      <c r="F288" s="4" t="n">
        <f aca="false">E288*(1-情景参数!D9)</f>
        <v>0</v>
      </c>
      <c r="G288" s="4" t="n">
        <f aca="false">IF(情景参数!E9="原表",驱动复算!U2-驱动复算!W2,驱动复算!P2)</f>
        <v>0</v>
      </c>
      <c r="H288" s="4" t="n">
        <f aca="false">IF(情景参数!E9="原表",驱动复算!W2,F288*情景参数!C9)</f>
        <v>0</v>
      </c>
      <c r="I288" s="4" t="n">
        <f aca="false">IF(情景参数!E9="原表",驱动复算!U2,G288+H288)</f>
        <v>0</v>
      </c>
      <c r="J288" s="4" t="n">
        <f aca="false">(F288-I288)*(1-情景参数!F9)</f>
        <v>0</v>
      </c>
      <c r="K288" s="4" t="n">
        <f aca="false">偿债原表!F3</f>
        <v>0</v>
      </c>
      <c r="L288" s="4" t="n">
        <f aca="false">偿债原表!G3</f>
        <v>1107.58</v>
      </c>
      <c r="M288" s="4" t="n">
        <f aca="false">K288+L288</f>
        <v>1107.58</v>
      </c>
      <c r="N288" s="4" t="n">
        <f aca="false">J288-M288</f>
        <v>-1107.58</v>
      </c>
      <c r="O288" s="4" t="n">
        <f aca="false">O287+N288</f>
        <v>-2481.78</v>
      </c>
      <c r="P288" s="4" t="n">
        <f aca="false">MAX(0,-(R287+N288))</f>
        <v>1107.58</v>
      </c>
      <c r="Q288" s="4" t="n">
        <f aca="false">Q287+P288</f>
        <v>2481.78</v>
      </c>
      <c r="R288" s="4" t="n">
        <f aca="false">O288+Q288</f>
        <v>0</v>
      </c>
    </row>
    <row r="289" customFormat="false" ht="15" hidden="false" customHeight="false" outlineLevel="0" collapsed="false">
      <c r="A289" s="2" t="s">
        <v>47</v>
      </c>
      <c r="B289" s="2" t="s">
        <v>40</v>
      </c>
      <c r="C289" s="12" t="n">
        <v>2</v>
      </c>
      <c r="D289" s="12" t="n">
        <v>2025</v>
      </c>
      <c r="E289" s="4" t="n">
        <f aca="false">INDEX(驱动复算!A3:X3,1,情景参数!B9)</f>
        <v>0</v>
      </c>
      <c r="F289" s="4" t="n">
        <f aca="false">E289*(1-情景参数!D9)</f>
        <v>0</v>
      </c>
      <c r="G289" s="4" t="n">
        <f aca="false">IF(情景参数!E9="原表",驱动复算!U3-驱动复算!W3,驱动复算!P3)</f>
        <v>0</v>
      </c>
      <c r="H289" s="4" t="n">
        <f aca="false">IF(情景参数!E9="原表",驱动复算!W3,F289*情景参数!C9)</f>
        <v>0</v>
      </c>
      <c r="I289" s="4" t="n">
        <f aca="false">IF(情景参数!E9="原表",驱动复算!U3,G289+H289)</f>
        <v>0</v>
      </c>
      <c r="J289" s="4" t="n">
        <f aca="false">(F289-I289)*(1-情景参数!F9)</f>
        <v>0</v>
      </c>
      <c r="K289" s="4" t="n">
        <f aca="false">偿债原表!F4</f>
        <v>0</v>
      </c>
      <c r="L289" s="4" t="n">
        <f aca="false">偿债原表!G4</f>
        <v>1107.58</v>
      </c>
      <c r="M289" s="4" t="n">
        <f aca="false">K289+L289</f>
        <v>1107.58</v>
      </c>
      <c r="N289" s="4" t="n">
        <f aca="false">J289-M289</f>
        <v>-1107.58</v>
      </c>
      <c r="O289" s="4" t="n">
        <f aca="false">O288+N289</f>
        <v>-3589.36</v>
      </c>
      <c r="P289" s="4" t="n">
        <f aca="false">MAX(0,-(R288+N289))</f>
        <v>1107.58</v>
      </c>
      <c r="Q289" s="4" t="n">
        <f aca="false">Q288+P289</f>
        <v>3589.36</v>
      </c>
      <c r="R289" s="4" t="n">
        <f aca="false">O289+Q289</f>
        <v>0</v>
      </c>
    </row>
    <row r="290" customFormat="false" ht="15" hidden="false" customHeight="false" outlineLevel="0" collapsed="false">
      <c r="A290" s="2" t="s">
        <v>47</v>
      </c>
      <c r="B290" s="2" t="s">
        <v>40</v>
      </c>
      <c r="C290" s="12" t="n">
        <v>3</v>
      </c>
      <c r="D290" s="12" t="n">
        <v>2026</v>
      </c>
      <c r="E290" s="4" t="n">
        <f aca="false">INDEX(驱动复算!A4:X4,1,情景参数!B9)</f>
        <v>0</v>
      </c>
      <c r="F290" s="4" t="n">
        <f aca="false">E290*(1-情景参数!D9)</f>
        <v>0</v>
      </c>
      <c r="G290" s="4" t="n">
        <f aca="false">IF(情景参数!E9="原表",驱动复算!U4-驱动复算!W4,驱动复算!P4)</f>
        <v>0</v>
      </c>
      <c r="H290" s="4" t="n">
        <f aca="false">IF(情景参数!E9="原表",驱动复算!W4,F290*情景参数!C9)</f>
        <v>0</v>
      </c>
      <c r="I290" s="4" t="n">
        <f aca="false">IF(情景参数!E9="原表",驱动复算!U4,G290+H290)</f>
        <v>0</v>
      </c>
      <c r="J290" s="4" t="n">
        <f aca="false">(F290-I290)*(1-情景参数!F9)</f>
        <v>0</v>
      </c>
      <c r="K290" s="4" t="n">
        <f aca="false">偿债原表!F5</f>
        <v>0</v>
      </c>
      <c r="L290" s="4" t="n">
        <f aca="false">偿债原表!G5</f>
        <v>1107.58</v>
      </c>
      <c r="M290" s="4" t="n">
        <f aca="false">K290+L290</f>
        <v>1107.58</v>
      </c>
      <c r="N290" s="4" t="n">
        <f aca="false">J290-M290</f>
        <v>-1107.58</v>
      </c>
      <c r="O290" s="4" t="n">
        <f aca="false">O289+N290</f>
        <v>-4696.94</v>
      </c>
      <c r="P290" s="4" t="n">
        <f aca="false">MAX(0,-(R289+N290))</f>
        <v>1107.58</v>
      </c>
      <c r="Q290" s="4" t="n">
        <f aca="false">Q289+P290</f>
        <v>4696.94</v>
      </c>
      <c r="R290" s="4" t="n">
        <f aca="false">O290+Q290</f>
        <v>0</v>
      </c>
    </row>
    <row r="291" customFormat="false" ht="15" hidden="false" customHeight="false" outlineLevel="0" collapsed="false">
      <c r="A291" s="2" t="s">
        <v>47</v>
      </c>
      <c r="B291" s="2" t="s">
        <v>40</v>
      </c>
      <c r="C291" s="12" t="n">
        <v>4</v>
      </c>
      <c r="D291" s="12" t="n">
        <v>2027</v>
      </c>
      <c r="E291" s="4" t="n">
        <f aca="false">INDEX(驱动复算!A5:X5,1,情景参数!B9)</f>
        <v>0</v>
      </c>
      <c r="F291" s="4" t="n">
        <f aca="false">E291*(1-情景参数!D9)</f>
        <v>0</v>
      </c>
      <c r="G291" s="4" t="n">
        <f aca="false">IF(情景参数!E9="原表",驱动复算!U5-驱动复算!W5,驱动复算!P5)</f>
        <v>0</v>
      </c>
      <c r="H291" s="4" t="n">
        <f aca="false">IF(情景参数!E9="原表",驱动复算!W5,F291*情景参数!C9)</f>
        <v>0</v>
      </c>
      <c r="I291" s="4" t="n">
        <f aca="false">IF(情景参数!E9="原表",驱动复算!U5,G291+H291)</f>
        <v>0</v>
      </c>
      <c r="J291" s="4" t="n">
        <f aca="false">(F291-I291)*(1-情景参数!F9)</f>
        <v>0</v>
      </c>
      <c r="K291" s="4" t="n">
        <f aca="false">偿债原表!F6</f>
        <v>0</v>
      </c>
      <c r="L291" s="4" t="n">
        <f aca="false">偿债原表!G6</f>
        <v>1107.58</v>
      </c>
      <c r="M291" s="4" t="n">
        <f aca="false">K291+L291</f>
        <v>1107.58</v>
      </c>
      <c r="N291" s="4" t="n">
        <f aca="false">J291-M291</f>
        <v>-1107.58</v>
      </c>
      <c r="O291" s="4" t="n">
        <f aca="false">O290+N291</f>
        <v>-5804.52</v>
      </c>
      <c r="P291" s="4" t="n">
        <f aca="false">MAX(0,-(R290+N291))</f>
        <v>1107.58</v>
      </c>
      <c r="Q291" s="4" t="n">
        <f aca="false">Q290+P291</f>
        <v>5804.52</v>
      </c>
      <c r="R291" s="4" t="n">
        <f aca="false">O291+Q291</f>
        <v>0</v>
      </c>
    </row>
    <row r="292" customFormat="false" ht="15" hidden="false" customHeight="false" outlineLevel="0" collapsed="false">
      <c r="A292" s="2" t="s">
        <v>47</v>
      </c>
      <c r="B292" s="2" t="s">
        <v>40</v>
      </c>
      <c r="C292" s="12" t="n">
        <v>5</v>
      </c>
      <c r="D292" s="12" t="n">
        <v>2028</v>
      </c>
      <c r="E292" s="4" t="n">
        <f aca="false">INDEX(驱动复算!A6:X6,1,情景参数!B9)</f>
        <v>9076.9048</v>
      </c>
      <c r="F292" s="4" t="n">
        <f aca="false">E292*(1-情景参数!D9)</f>
        <v>9076.9048</v>
      </c>
      <c r="G292" s="4" t="n">
        <f aca="false">IF(情景参数!E9="原表",驱动复算!U6-驱动复算!W6,驱动复算!P6)</f>
        <v>7355</v>
      </c>
      <c r="H292" s="4" t="n">
        <f aca="false">IF(情景参数!E9="原表",驱动复算!W6,F292*情景参数!C9)</f>
        <v>453.84524</v>
      </c>
      <c r="I292" s="4" t="n">
        <f aca="false">IF(情景参数!E9="原表",驱动复算!U6,G292+H292)</f>
        <v>7808.84524</v>
      </c>
      <c r="J292" s="4" t="n">
        <f aca="false">(F292-I292)*(1-情景参数!F9)</f>
        <v>1268.05956</v>
      </c>
      <c r="K292" s="4" t="n">
        <f aca="false">偿债原表!F7</f>
        <v>1400</v>
      </c>
      <c r="L292" s="4" t="n">
        <f aca="false">偿债原表!G7</f>
        <v>1107.58</v>
      </c>
      <c r="M292" s="4" t="n">
        <f aca="false">K292+L292</f>
        <v>2507.58</v>
      </c>
      <c r="N292" s="4" t="n">
        <f aca="false">J292-M292</f>
        <v>-1239.52044</v>
      </c>
      <c r="O292" s="4" t="n">
        <f aca="false">O291+N292</f>
        <v>-7044.04044</v>
      </c>
      <c r="P292" s="4" t="n">
        <f aca="false">MAX(0,-(R291+N292))</f>
        <v>1239.52044</v>
      </c>
      <c r="Q292" s="4" t="n">
        <f aca="false">Q291+P292</f>
        <v>7044.04044</v>
      </c>
      <c r="R292" s="4" t="n">
        <f aca="false">O292+Q292</f>
        <v>0</v>
      </c>
    </row>
    <row r="293" customFormat="false" ht="15" hidden="false" customHeight="false" outlineLevel="0" collapsed="false">
      <c r="A293" s="2" t="s">
        <v>47</v>
      </c>
      <c r="B293" s="2" t="s">
        <v>40</v>
      </c>
      <c r="C293" s="12" t="n">
        <v>6</v>
      </c>
      <c r="D293" s="12" t="n">
        <v>2029</v>
      </c>
      <c r="E293" s="4" t="n">
        <f aca="false">INDEX(驱动复算!A7:X7,1,情景参数!B9)</f>
        <v>9911.9048</v>
      </c>
      <c r="F293" s="4" t="n">
        <f aca="false">E293*(1-情景参数!D9)</f>
        <v>9911.9048</v>
      </c>
      <c r="G293" s="4" t="n">
        <f aca="false">IF(情景参数!E9="原表",驱动复算!U7-驱动复算!W7,驱动复算!P7)</f>
        <v>7575.65</v>
      </c>
      <c r="H293" s="4" t="n">
        <f aca="false">IF(情景参数!E9="原表",驱动复算!W7,F293*情景参数!C9)</f>
        <v>495.59524</v>
      </c>
      <c r="I293" s="4" t="n">
        <f aca="false">IF(情景参数!E9="原表",驱动复算!U7,G293+H293)</f>
        <v>8071.24524</v>
      </c>
      <c r="J293" s="4" t="n">
        <f aca="false">(F293-I293)*(1-情景参数!F9)</f>
        <v>1840.65956</v>
      </c>
      <c r="K293" s="4" t="n">
        <f aca="false">偿债原表!F8</f>
        <v>0</v>
      </c>
      <c r="L293" s="4" t="n">
        <f aca="false">偿债原表!G8</f>
        <v>1075.8</v>
      </c>
      <c r="M293" s="4" t="n">
        <f aca="false">K293+L293</f>
        <v>1075.8</v>
      </c>
      <c r="N293" s="4" t="n">
        <f aca="false">J293-M293</f>
        <v>764.859559999998</v>
      </c>
      <c r="O293" s="4" t="n">
        <f aca="false">O292+N293</f>
        <v>-6279.18088</v>
      </c>
      <c r="P293" s="4" t="n">
        <f aca="false">MAX(0,-(R292+N293))</f>
        <v>0</v>
      </c>
      <c r="Q293" s="4" t="n">
        <f aca="false">Q292+P293</f>
        <v>7044.04044</v>
      </c>
      <c r="R293" s="4" t="n">
        <f aca="false">O293+Q293</f>
        <v>764.859559999998</v>
      </c>
    </row>
    <row r="294" customFormat="false" ht="15" hidden="false" customHeight="false" outlineLevel="0" collapsed="false">
      <c r="A294" s="2" t="s">
        <v>47</v>
      </c>
      <c r="B294" s="2" t="s">
        <v>40</v>
      </c>
      <c r="C294" s="12" t="n">
        <v>7</v>
      </c>
      <c r="D294" s="12" t="n">
        <v>2030</v>
      </c>
      <c r="E294" s="4" t="n">
        <f aca="false">INDEX(驱动复算!A8:X8,1,情景参数!B9)</f>
        <v>10830.4048</v>
      </c>
      <c r="F294" s="4" t="n">
        <f aca="false">E294*(1-情景参数!D9)</f>
        <v>10830.4048</v>
      </c>
      <c r="G294" s="4" t="n">
        <f aca="false">IF(情景参数!E9="原表",驱动复算!U8-驱动复算!W8,驱动复算!P8)</f>
        <v>7802.9195</v>
      </c>
      <c r="H294" s="4" t="n">
        <f aca="false">IF(情景参数!E9="原表",驱动复算!W8,F294*情景参数!C9)</f>
        <v>541.52024</v>
      </c>
      <c r="I294" s="4" t="n">
        <f aca="false">IF(情景参数!E9="原表",驱动复算!U8,G294+H294)</f>
        <v>8344.43974</v>
      </c>
      <c r="J294" s="4" t="n">
        <f aca="false">(F294-I294)*(1-情景参数!F9)</f>
        <v>2485.96506</v>
      </c>
      <c r="K294" s="4" t="n">
        <f aca="false">偿债原表!F9</f>
        <v>0</v>
      </c>
      <c r="L294" s="4" t="n">
        <f aca="false">偿债原表!G9</f>
        <v>1075.8</v>
      </c>
      <c r="M294" s="4" t="n">
        <f aca="false">K294+L294</f>
        <v>1075.8</v>
      </c>
      <c r="N294" s="4" t="n">
        <f aca="false">J294-M294</f>
        <v>1410.16506</v>
      </c>
      <c r="O294" s="4" t="n">
        <f aca="false">O293+N294</f>
        <v>-4869.01582</v>
      </c>
      <c r="P294" s="4" t="n">
        <f aca="false">MAX(0,-(R293+N294))</f>
        <v>0</v>
      </c>
      <c r="Q294" s="4" t="n">
        <f aca="false">Q293+P294</f>
        <v>7044.04044</v>
      </c>
      <c r="R294" s="4" t="n">
        <f aca="false">O294+Q294</f>
        <v>2175.02462</v>
      </c>
    </row>
    <row r="295" customFormat="false" ht="15" hidden="false" customHeight="false" outlineLevel="0" collapsed="false">
      <c r="A295" s="2" t="s">
        <v>47</v>
      </c>
      <c r="B295" s="2" t="s">
        <v>40</v>
      </c>
      <c r="C295" s="12" t="n">
        <v>8</v>
      </c>
      <c r="D295" s="12" t="n">
        <v>2031</v>
      </c>
      <c r="E295" s="4" t="n">
        <f aca="false">INDEX(驱动复算!A9:X9,1,情景参数!B9)</f>
        <v>11840.7548</v>
      </c>
      <c r="F295" s="4" t="n">
        <f aca="false">E295*(1-情景参数!D9)</f>
        <v>11840.7548</v>
      </c>
      <c r="G295" s="4" t="n">
        <f aca="false">IF(情景参数!E9="原表",驱动复算!U9-驱动复算!W9,驱动复算!P9)</f>
        <v>8037.007085</v>
      </c>
      <c r="H295" s="4" t="n">
        <f aca="false">IF(情景参数!E9="原表",驱动复算!W9,F295*情景参数!C9)</f>
        <v>592.03774</v>
      </c>
      <c r="I295" s="4" t="n">
        <f aca="false">IF(情景参数!E9="原表",驱动复算!U9,G295+H295)</f>
        <v>8629.044825</v>
      </c>
      <c r="J295" s="4" t="n">
        <f aca="false">(F295-I295)*(1-情景参数!F9)</f>
        <v>3211.709975</v>
      </c>
      <c r="K295" s="4" t="n">
        <f aca="false">偿债原表!F10</f>
        <v>0</v>
      </c>
      <c r="L295" s="4" t="n">
        <f aca="false">偿债原表!G10</f>
        <v>1075.8</v>
      </c>
      <c r="M295" s="4" t="n">
        <f aca="false">K295+L295</f>
        <v>1075.8</v>
      </c>
      <c r="N295" s="4" t="n">
        <f aca="false">J295-M295</f>
        <v>2135.909975</v>
      </c>
      <c r="O295" s="4" t="n">
        <f aca="false">O294+N295</f>
        <v>-2733.105845</v>
      </c>
      <c r="P295" s="4" t="n">
        <f aca="false">MAX(0,-(R294+N295))</f>
        <v>0</v>
      </c>
      <c r="Q295" s="4" t="n">
        <f aca="false">Q294+P295</f>
        <v>7044.04044</v>
      </c>
      <c r="R295" s="4" t="n">
        <f aca="false">O295+Q295</f>
        <v>4310.934595</v>
      </c>
    </row>
    <row r="296" customFormat="false" ht="15" hidden="false" customHeight="false" outlineLevel="0" collapsed="false">
      <c r="A296" s="2" t="s">
        <v>47</v>
      </c>
      <c r="B296" s="2" t="s">
        <v>40</v>
      </c>
      <c r="C296" s="12" t="n">
        <v>9</v>
      </c>
      <c r="D296" s="12" t="n">
        <v>2032</v>
      </c>
      <c r="E296" s="4" t="n">
        <f aca="false">INDEX(驱动复算!A10:X10,1,情景参数!B9)</f>
        <v>12952.1398</v>
      </c>
      <c r="F296" s="4" t="n">
        <f aca="false">E296*(1-情景参数!D9)</f>
        <v>12952.1398</v>
      </c>
      <c r="G296" s="4" t="n">
        <f aca="false">IF(情景参数!E9="原表",驱动复算!U10-驱动复算!W10,驱动复算!P10)</f>
        <v>8278.11729755</v>
      </c>
      <c r="H296" s="4" t="n">
        <f aca="false">IF(情景参数!E9="原表",驱动复算!W10,F296*情景参数!C9)</f>
        <v>647.60699</v>
      </c>
      <c r="I296" s="4" t="n">
        <f aca="false">IF(情景参数!E9="原表",驱动复算!U10,G296+H296)</f>
        <v>8925.72428755</v>
      </c>
      <c r="J296" s="4" t="n">
        <f aca="false">(F296-I296)*(1-情景参数!F9)</f>
        <v>4026.41551245</v>
      </c>
      <c r="K296" s="4" t="n">
        <f aca="false">偿债原表!F11</f>
        <v>2000</v>
      </c>
      <c r="L296" s="4" t="n">
        <f aca="false">偿债原表!G11</f>
        <v>1075.8</v>
      </c>
      <c r="M296" s="4" t="n">
        <f aca="false">K296+L296</f>
        <v>3075.8</v>
      </c>
      <c r="N296" s="4" t="n">
        <f aca="false">J296-M296</f>
        <v>950.615512450001</v>
      </c>
      <c r="O296" s="4" t="n">
        <f aca="false">O295+N296</f>
        <v>-1782.49033255</v>
      </c>
      <c r="P296" s="4" t="n">
        <f aca="false">MAX(0,-(R295+N296))</f>
        <v>0</v>
      </c>
      <c r="Q296" s="4" t="n">
        <f aca="false">Q295+P296</f>
        <v>7044.04044</v>
      </c>
      <c r="R296" s="4" t="n">
        <f aca="false">O296+Q296</f>
        <v>5261.55010745</v>
      </c>
    </row>
    <row r="297" customFormat="false" ht="15" hidden="false" customHeight="false" outlineLevel="0" collapsed="false">
      <c r="A297" s="2" t="s">
        <v>47</v>
      </c>
      <c r="B297" s="2" t="s">
        <v>40</v>
      </c>
      <c r="C297" s="12" t="n">
        <v>10</v>
      </c>
      <c r="D297" s="12" t="n">
        <v>2033</v>
      </c>
      <c r="E297" s="4" t="n">
        <f aca="false">INDEX(驱动复算!A11:X11,1,情景参数!B9)</f>
        <v>13654.92603</v>
      </c>
      <c r="F297" s="4" t="n">
        <f aca="false">E297*(1-情景参数!D9)</f>
        <v>13654.92603</v>
      </c>
      <c r="G297" s="4" t="n">
        <f aca="false">IF(情景参数!E9="原表",驱动复算!U11-驱动复算!W11,驱动复算!P11)</f>
        <v>8526.4608164765</v>
      </c>
      <c r="H297" s="4" t="n">
        <f aca="false">IF(情景参数!E9="原表",驱动复算!W11,F297*情景参数!C9)</f>
        <v>682.7463015</v>
      </c>
      <c r="I297" s="4" t="n">
        <f aca="false">IF(情景参数!E9="原表",驱动复算!U11,G297+H297)</f>
        <v>9209.2071179765</v>
      </c>
      <c r="J297" s="4" t="n">
        <f aca="false">(F297-I297)*(1-情景参数!F9)</f>
        <v>4445.7189120235</v>
      </c>
      <c r="K297" s="4" t="n">
        <f aca="false">偿债原表!F12</f>
        <v>9600</v>
      </c>
      <c r="L297" s="4" t="n">
        <f aca="false">偿债原表!G12</f>
        <v>1018.8</v>
      </c>
      <c r="M297" s="4" t="n">
        <f aca="false">K297+L297</f>
        <v>10618.8</v>
      </c>
      <c r="N297" s="4" t="n">
        <f aca="false">J297-M297</f>
        <v>-6173.0810879765</v>
      </c>
      <c r="O297" s="4" t="n">
        <f aca="false">O296+N297</f>
        <v>-7955.57142052649</v>
      </c>
      <c r="P297" s="4" t="n">
        <f aca="false">MAX(0,-(R296+N297))</f>
        <v>911.530980526493</v>
      </c>
      <c r="Q297" s="4" t="n">
        <f aca="false">Q296+P297</f>
        <v>7955.57142052649</v>
      </c>
      <c r="R297" s="4" t="n">
        <f aca="false">O297+Q297</f>
        <v>0</v>
      </c>
    </row>
    <row r="298" customFormat="false" ht="15" hidden="false" customHeight="false" outlineLevel="0" collapsed="false">
      <c r="A298" s="2" t="s">
        <v>47</v>
      </c>
      <c r="B298" s="2" t="s">
        <v>40</v>
      </c>
      <c r="C298" s="12" t="n">
        <v>11</v>
      </c>
      <c r="D298" s="12" t="n">
        <v>2034</v>
      </c>
      <c r="E298" s="4" t="n">
        <f aca="false">INDEX(驱动复算!A12:X12,1,情景参数!B9)</f>
        <v>14296.7508675</v>
      </c>
      <c r="F298" s="4" t="n">
        <f aca="false">E298*(1-情景参数!D9)</f>
        <v>14296.7508675</v>
      </c>
      <c r="G298" s="4" t="n">
        <f aca="false">IF(情景参数!E9="原表",驱动复算!U12-驱动复算!W12,驱动复算!P12)</f>
        <v>8782.2546409708</v>
      </c>
      <c r="H298" s="4" t="n">
        <f aca="false">IF(情景参数!E9="原表",驱动复算!W12,F298*情景参数!C9)</f>
        <v>714.837543375</v>
      </c>
      <c r="I298" s="4" t="n">
        <f aca="false">IF(情景参数!E9="原表",驱动复算!U12,G298+H298)</f>
        <v>9497.0921843458</v>
      </c>
      <c r="J298" s="4" t="n">
        <f aca="false">(F298-I298)*(1-情景参数!F9)</f>
        <v>4799.65868315421</v>
      </c>
      <c r="K298" s="4" t="n">
        <f aca="false">偿债原表!F13</f>
        <v>0</v>
      </c>
      <c r="L298" s="4" t="n">
        <f aca="false">偿债原表!G13</f>
        <v>673.2</v>
      </c>
      <c r="M298" s="4" t="n">
        <f aca="false">K298+L298</f>
        <v>673.2</v>
      </c>
      <c r="N298" s="4" t="n">
        <f aca="false">J298-M298</f>
        <v>4126.45868315421</v>
      </c>
      <c r="O298" s="4" t="n">
        <f aca="false">O297+N298</f>
        <v>-3829.11273737228</v>
      </c>
      <c r="P298" s="4" t="n">
        <f aca="false">MAX(0,-(R297+N298))</f>
        <v>0</v>
      </c>
      <c r="Q298" s="4" t="n">
        <f aca="false">Q297+P298</f>
        <v>7955.57142052649</v>
      </c>
      <c r="R298" s="4" t="n">
        <f aca="false">O298+Q298</f>
        <v>4126.45868315421</v>
      </c>
    </row>
    <row r="299" customFormat="false" ht="15" hidden="false" customHeight="false" outlineLevel="0" collapsed="false">
      <c r="A299" s="2" t="s">
        <v>47</v>
      </c>
      <c r="B299" s="2" t="s">
        <v>40</v>
      </c>
      <c r="C299" s="12" t="n">
        <v>12</v>
      </c>
      <c r="D299" s="12" t="n">
        <v>2035</v>
      </c>
      <c r="E299" s="4" t="n">
        <f aca="false">INDEX(驱动复算!A13:X13,1,情景参数!B9)</f>
        <v>14970.666946875</v>
      </c>
      <c r="F299" s="4" t="n">
        <f aca="false">E299*(1-情景参数!D9)</f>
        <v>14970.666946875</v>
      </c>
      <c r="G299" s="4" t="n">
        <f aca="false">IF(情景参数!E9="原表",驱动复算!U13-驱动复算!W13,驱动复算!P13)</f>
        <v>9045.72228019992</v>
      </c>
      <c r="H299" s="4" t="n">
        <f aca="false">IF(情景参数!E9="原表",驱动复算!W13,F299*情景参数!C9)</f>
        <v>748.53334734375</v>
      </c>
      <c r="I299" s="4" t="n">
        <f aca="false">IF(情景参数!E9="原表",驱动复算!U13,G299+H299)</f>
        <v>9794.25562754367</v>
      </c>
      <c r="J299" s="4" t="n">
        <f aca="false">(F299-I299)*(1-情景参数!F9)</f>
        <v>5176.41131933134</v>
      </c>
      <c r="K299" s="4" t="n">
        <f aca="false">偿债原表!F14</f>
        <v>0</v>
      </c>
      <c r="L299" s="4" t="n">
        <f aca="false">偿债原表!G14</f>
        <v>673.2</v>
      </c>
      <c r="M299" s="4" t="n">
        <f aca="false">K299+L299</f>
        <v>673.2</v>
      </c>
      <c r="N299" s="4" t="n">
        <f aca="false">J299-M299</f>
        <v>4503.21131933134</v>
      </c>
      <c r="O299" s="4" t="n">
        <f aca="false">O298+N299</f>
        <v>674.098581959051</v>
      </c>
      <c r="P299" s="4" t="n">
        <f aca="false">MAX(0,-(R298+N299))</f>
        <v>0</v>
      </c>
      <c r="Q299" s="4" t="n">
        <f aca="false">Q298+P299</f>
        <v>7955.57142052649</v>
      </c>
      <c r="R299" s="4" t="n">
        <f aca="false">O299+Q299</f>
        <v>8629.67000248555</v>
      </c>
    </row>
    <row r="300" customFormat="false" ht="15" hidden="false" customHeight="false" outlineLevel="0" collapsed="false">
      <c r="A300" s="2" t="s">
        <v>47</v>
      </c>
      <c r="B300" s="2" t="s">
        <v>40</v>
      </c>
      <c r="C300" s="12" t="n">
        <v>13</v>
      </c>
      <c r="D300" s="12" t="n">
        <v>2036</v>
      </c>
      <c r="E300" s="4" t="n">
        <f aca="false">INDEX(驱动复算!A14:X14,1,情景参数!B9)</f>
        <v>15678.2788302188</v>
      </c>
      <c r="F300" s="4" t="n">
        <f aca="false">E300*(1-情景参数!D9)</f>
        <v>15678.2788302188</v>
      </c>
      <c r="G300" s="4" t="n">
        <f aca="false">IF(情景参数!E9="原表",驱动复算!U14-驱动复算!W14,驱动复算!P14)</f>
        <v>9317.09394860592</v>
      </c>
      <c r="H300" s="4" t="n">
        <f aca="false">IF(情景参数!E9="原表",驱动复算!W14,F300*情景参数!C9)</f>
        <v>783.913941510938</v>
      </c>
      <c r="I300" s="4" t="n">
        <f aca="false">IF(情景参数!E9="原表",驱动复算!U14,G300+H300)</f>
        <v>10101.0078901169</v>
      </c>
      <c r="J300" s="4" t="n">
        <f aca="false">(F300-I300)*(1-情景参数!F9)</f>
        <v>5577.2709401019</v>
      </c>
      <c r="K300" s="4" t="n">
        <f aca="false">偿债原表!F15</f>
        <v>0</v>
      </c>
      <c r="L300" s="4" t="n">
        <f aca="false">偿债原表!G15</f>
        <v>673.2</v>
      </c>
      <c r="M300" s="4" t="n">
        <f aca="false">K300+L300</f>
        <v>673.2</v>
      </c>
      <c r="N300" s="4" t="n">
        <f aca="false">J300-M300</f>
        <v>4904.0709401019</v>
      </c>
      <c r="O300" s="4" t="n">
        <f aca="false">O299+N300</f>
        <v>5578.16952206095</v>
      </c>
      <c r="P300" s="4" t="n">
        <f aca="false">MAX(0,-(R299+N300))</f>
        <v>0</v>
      </c>
      <c r="Q300" s="4" t="n">
        <f aca="false">Q299+P300</f>
        <v>7955.57142052649</v>
      </c>
      <c r="R300" s="4" t="n">
        <f aca="false">O300+Q300</f>
        <v>13533.7409425874</v>
      </c>
    </row>
    <row r="301" customFormat="false" ht="15" hidden="false" customHeight="false" outlineLevel="0" collapsed="false">
      <c r="A301" s="2" t="s">
        <v>47</v>
      </c>
      <c r="B301" s="2" t="s">
        <v>40</v>
      </c>
      <c r="C301" s="12" t="n">
        <v>14</v>
      </c>
      <c r="D301" s="12" t="n">
        <v>2037</v>
      </c>
      <c r="E301" s="4" t="n">
        <f aca="false">INDEX(驱动复算!A15:X15,1,情景参数!B9)</f>
        <v>16421.2713077297</v>
      </c>
      <c r="F301" s="4" t="n">
        <f aca="false">E301*(1-情景参数!D9)</f>
        <v>16421.2713077297</v>
      </c>
      <c r="G301" s="4" t="n">
        <f aca="false">IF(情景参数!E9="原表",驱动复算!U15-驱动复算!W15,驱动复算!P15)</f>
        <v>9596.6067670641</v>
      </c>
      <c r="H301" s="4" t="n">
        <f aca="false">IF(情景参数!E9="原表",驱动复算!W15,F301*情景参数!C9)</f>
        <v>821.063565386485</v>
      </c>
      <c r="I301" s="4" t="n">
        <f aca="false">IF(情景参数!E9="原表",驱动复算!U15,G301+H301)</f>
        <v>10417.6703324506</v>
      </c>
      <c r="J301" s="4" t="n">
        <f aca="false">(F301-I301)*(1-情景参数!F9)</f>
        <v>6003.60097527912</v>
      </c>
      <c r="K301" s="4" t="n">
        <f aca="false">偿债原表!F16</f>
        <v>1000</v>
      </c>
      <c r="L301" s="4" t="n">
        <f aca="false">偿债原表!G16</f>
        <v>673.2</v>
      </c>
      <c r="M301" s="4" t="n">
        <f aca="false">K301+L301</f>
        <v>1673.2</v>
      </c>
      <c r="N301" s="4" t="n">
        <f aca="false">J301-M301</f>
        <v>4330.40097527912</v>
      </c>
      <c r="O301" s="4" t="n">
        <f aca="false">O300+N301</f>
        <v>9908.57049734007</v>
      </c>
      <c r="P301" s="4" t="n">
        <f aca="false">MAX(0,-(R300+N301))</f>
        <v>0</v>
      </c>
      <c r="Q301" s="4" t="n">
        <f aca="false">Q300+P301</f>
        <v>7955.57142052649</v>
      </c>
      <c r="R301" s="4" t="n">
        <f aca="false">O301+Q301</f>
        <v>17864.1419178666</v>
      </c>
    </row>
    <row r="302" customFormat="false" ht="15" hidden="false" customHeight="false" outlineLevel="0" collapsed="false">
      <c r="A302" s="2" t="s">
        <v>47</v>
      </c>
      <c r="B302" s="2" t="s">
        <v>40</v>
      </c>
      <c r="C302" s="12" t="n">
        <v>15</v>
      </c>
      <c r="D302" s="12" t="n">
        <v>2038</v>
      </c>
      <c r="E302" s="4" t="n">
        <f aca="false">INDEX(驱动复算!A16:X16,1,情景参数!B9)</f>
        <v>16756.9170762843</v>
      </c>
      <c r="F302" s="4" t="n">
        <f aca="false">E302*(1-情景参数!D9)</f>
        <v>16756.9170762843</v>
      </c>
      <c r="G302" s="4" t="n">
        <f aca="false">IF(情景参数!E9="原表",驱动复算!U16-驱动复算!W16,驱动复算!P16)</f>
        <v>9884.50497007602</v>
      </c>
      <c r="H302" s="4" t="n">
        <f aca="false">IF(情景参数!E9="原表",驱动复算!W16,F302*情景参数!C9)</f>
        <v>837.845853814215</v>
      </c>
      <c r="I302" s="4" t="n">
        <f aca="false">IF(情景参数!E9="原表",驱动复算!U16,G302+H302)</f>
        <v>10722.3508238902</v>
      </c>
      <c r="J302" s="4" t="n">
        <f aca="false">(F302-I302)*(1-情景参数!F9)</f>
        <v>6034.56625239406</v>
      </c>
      <c r="K302" s="4" t="n">
        <f aca="false">偿债原表!F17</f>
        <v>0</v>
      </c>
      <c r="L302" s="4" t="n">
        <f aca="false">偿债原表!G17</f>
        <v>644</v>
      </c>
      <c r="M302" s="4" t="n">
        <f aca="false">K302+L302</f>
        <v>644</v>
      </c>
      <c r="N302" s="4" t="n">
        <f aca="false">J302-M302</f>
        <v>5390.56625239406</v>
      </c>
      <c r="O302" s="4" t="n">
        <f aca="false">O301+N302</f>
        <v>15299.1367497341</v>
      </c>
      <c r="P302" s="4" t="n">
        <f aca="false">MAX(0,-(R301+N302))</f>
        <v>0</v>
      </c>
      <c r="Q302" s="4" t="n">
        <f aca="false">Q301+P302</f>
        <v>7955.57142052649</v>
      </c>
      <c r="R302" s="4" t="n">
        <f aca="false">O302+Q302</f>
        <v>23254.7081702606</v>
      </c>
    </row>
    <row r="303" customFormat="false" ht="15" hidden="false" customHeight="false" outlineLevel="0" collapsed="false">
      <c r="A303" s="2" t="s">
        <v>47</v>
      </c>
      <c r="B303" s="2" t="s">
        <v>40</v>
      </c>
      <c r="C303" s="12" t="n">
        <v>16</v>
      </c>
      <c r="D303" s="12" t="n">
        <v>2039</v>
      </c>
      <c r="E303" s="4" t="n">
        <f aca="false">INDEX(驱动复算!A17:X17,1,情景参数!B9)</f>
        <v>17075.21505365</v>
      </c>
      <c r="F303" s="4" t="n">
        <f aca="false">E303*(1-情景参数!D9)</f>
        <v>17075.21505365</v>
      </c>
      <c r="G303" s="4" t="n">
        <f aca="false">IF(情景参数!E9="原表",驱动复算!U17-驱动复算!W17,驱动复算!P17)</f>
        <v>10181.0401191783</v>
      </c>
      <c r="H303" s="4" t="n">
        <f aca="false">IF(情景参数!E9="原表",驱动复算!W17,F303*情景参数!C9)</f>
        <v>853.760752682499</v>
      </c>
      <c r="I303" s="4" t="n">
        <f aca="false">IF(情景参数!E9="原表",驱动复算!U17,G303+H303)</f>
        <v>11034.8008718608</v>
      </c>
      <c r="J303" s="4" t="n">
        <f aca="false">(F303-I303)*(1-情景参数!F9)</f>
        <v>6040.41418178918</v>
      </c>
      <c r="K303" s="4" t="n">
        <f aca="false">偿债原表!F18</f>
        <v>0</v>
      </c>
      <c r="L303" s="4" t="n">
        <f aca="false">偿债原表!G18</f>
        <v>644</v>
      </c>
      <c r="M303" s="4" t="n">
        <f aca="false">K303+L303</f>
        <v>644</v>
      </c>
      <c r="N303" s="4" t="n">
        <f aca="false">J303-M303</f>
        <v>5396.41418178918</v>
      </c>
      <c r="O303" s="4" t="n">
        <f aca="false">O302+N303</f>
        <v>20695.5509315233</v>
      </c>
      <c r="P303" s="4" t="n">
        <f aca="false">MAX(0,-(R302+N303))</f>
        <v>0</v>
      </c>
      <c r="Q303" s="4" t="n">
        <f aca="false">Q302+P303</f>
        <v>7955.57142052649</v>
      </c>
      <c r="R303" s="4" t="n">
        <f aca="false">O303+Q303</f>
        <v>28651.1223520498</v>
      </c>
    </row>
    <row r="304" customFormat="false" ht="15" hidden="false" customHeight="false" outlineLevel="0" collapsed="false">
      <c r="A304" s="2" t="s">
        <v>47</v>
      </c>
      <c r="B304" s="2" t="s">
        <v>40</v>
      </c>
      <c r="C304" s="12" t="n">
        <v>17</v>
      </c>
      <c r="D304" s="12" t="n">
        <v>2040</v>
      </c>
      <c r="E304" s="4" t="n">
        <f aca="false">INDEX(驱动复算!A18:X18,1,情景参数!B9)</f>
        <v>17399.878990563</v>
      </c>
      <c r="F304" s="4" t="n">
        <f aca="false">E304*(1-情景参数!D9)</f>
        <v>17399.878990563</v>
      </c>
      <c r="G304" s="4" t="n">
        <f aca="false">IF(情景参数!E9="原表",驱动复算!U18-驱动复算!W18,驱动复算!P18)</f>
        <v>10486.4713227536</v>
      </c>
      <c r="H304" s="4" t="n">
        <f aca="false">IF(情景参数!E9="原表",驱动复算!W18,F304*情景参数!C9)</f>
        <v>869.993949528149</v>
      </c>
      <c r="I304" s="4" t="n">
        <f aca="false">IF(情景参数!E9="原表",驱动复算!U18,G304+H304)</f>
        <v>11356.4652722818</v>
      </c>
      <c r="J304" s="4" t="n">
        <f aca="false">(F304-I304)*(1-情景参数!F9)</f>
        <v>6043.41371828119</v>
      </c>
      <c r="K304" s="4" t="n">
        <f aca="false">偿债原表!F19</f>
        <v>0</v>
      </c>
      <c r="L304" s="4" t="n">
        <f aca="false">偿债原表!G19</f>
        <v>644</v>
      </c>
      <c r="M304" s="4" t="n">
        <f aca="false">K304+L304</f>
        <v>644</v>
      </c>
      <c r="N304" s="4" t="n">
        <f aca="false">J304-M304</f>
        <v>5399.41371828119</v>
      </c>
      <c r="O304" s="4" t="n">
        <f aca="false">O303+N304</f>
        <v>26094.9646498045</v>
      </c>
      <c r="P304" s="4" t="n">
        <f aca="false">MAX(0,-(R303+N304))</f>
        <v>0</v>
      </c>
      <c r="Q304" s="4" t="n">
        <f aca="false">Q303+P304</f>
        <v>7955.57142052649</v>
      </c>
      <c r="R304" s="4" t="n">
        <f aca="false">O304+Q304</f>
        <v>34050.536070331</v>
      </c>
    </row>
    <row r="305" customFormat="false" ht="15" hidden="false" customHeight="false" outlineLevel="0" collapsed="false">
      <c r="A305" s="2" t="s">
        <v>47</v>
      </c>
      <c r="B305" s="2" t="s">
        <v>40</v>
      </c>
      <c r="C305" s="12" t="n">
        <v>18</v>
      </c>
      <c r="D305" s="12" t="n">
        <v>2041</v>
      </c>
      <c r="E305" s="4" t="n">
        <f aca="false">INDEX(驱动复算!A19:X19,1,情景参数!B9)</f>
        <v>17731.0362062142</v>
      </c>
      <c r="F305" s="4" t="n">
        <f aca="false">E305*(1-情景参数!D9)</f>
        <v>17731.0362062142</v>
      </c>
      <c r="G305" s="4" t="n">
        <f aca="false">IF(情景参数!E9="原表",驱动复算!U19-驱动复算!W19,驱动复算!P19)</f>
        <v>10801.0654624363</v>
      </c>
      <c r="H305" s="4" t="n">
        <f aca="false">IF(情景参数!E9="原表",驱动复算!W19,F305*情景参数!C9)</f>
        <v>886.551810310712</v>
      </c>
      <c r="I305" s="4" t="n">
        <f aca="false">IF(情景参数!E9="原表",驱动复算!U19,G305+H305)</f>
        <v>11687.617272747</v>
      </c>
      <c r="J305" s="4" t="n">
        <f aca="false">(F305-I305)*(1-情景参数!F9)</f>
        <v>6043.41893346727</v>
      </c>
      <c r="K305" s="4" t="n">
        <f aca="false">偿债原表!F20</f>
        <v>20000</v>
      </c>
      <c r="L305" s="4" t="n">
        <f aca="false">偿债原表!G20</f>
        <v>644</v>
      </c>
      <c r="M305" s="4" t="n">
        <f aca="false">K305+L305</f>
        <v>20644</v>
      </c>
      <c r="N305" s="4" t="n">
        <f aca="false">J305-M305</f>
        <v>-14600.5810665327</v>
      </c>
      <c r="O305" s="4" t="n">
        <f aca="false">O304+N305</f>
        <v>11494.3835832718</v>
      </c>
      <c r="P305" s="4" t="n">
        <f aca="false">MAX(0,-(R304+N305))</f>
        <v>0</v>
      </c>
      <c r="Q305" s="4" t="n">
        <f aca="false">Q304+P305</f>
        <v>7955.57142052649</v>
      </c>
      <c r="R305" s="4" t="n">
        <f aca="false">O305+Q305</f>
        <v>19449.9550037982</v>
      </c>
    </row>
    <row r="306" customFormat="false" ht="15" hidden="false" customHeight="false" outlineLevel="0" collapsed="false">
      <c r="A306" s="2" t="s">
        <v>48</v>
      </c>
      <c r="B306" s="2" t="s">
        <v>39</v>
      </c>
      <c r="C306" s="12" t="n">
        <v>0</v>
      </c>
      <c r="D306" s="13" t="s">
        <v>248</v>
      </c>
      <c r="E306" s="4" t="n">
        <f aca="false">0</f>
        <v>0</v>
      </c>
      <c r="F306" s="4" t="n">
        <f aca="false">E306*(1-情景参数!D10)</f>
        <v>0</v>
      </c>
      <c r="G306" s="4" t="n">
        <f aca="false">0</f>
        <v>0</v>
      </c>
      <c r="H306" s="4" t="n">
        <f aca="false">0</f>
        <v>0</v>
      </c>
      <c r="I306" s="4" t="n">
        <f aca="false">0</f>
        <v>0</v>
      </c>
      <c r="J306" s="4" t="n">
        <f aca="false">(F306-I306)*(1-情景参数!F10)</f>
        <v>0</v>
      </c>
      <c r="K306" s="4" t="n">
        <f aca="false">偿债原表!C2</f>
        <v>0</v>
      </c>
      <c r="L306" s="4" t="n">
        <f aca="false">偿债原表!D2</f>
        <v>1374.2</v>
      </c>
      <c r="M306" s="4" t="n">
        <f aca="false">K306+L306</f>
        <v>1374.2</v>
      </c>
      <c r="N306" s="4" t="n">
        <f aca="false">J306-M306</f>
        <v>-1374.2</v>
      </c>
      <c r="O306" s="4" t="n">
        <f aca="false">N306</f>
        <v>-1374.2</v>
      </c>
      <c r="P306" s="4" t="n">
        <f aca="false">MAX(0,-N306)</f>
        <v>1374.2</v>
      </c>
      <c r="Q306" s="4" t="n">
        <f aca="false">P306</f>
        <v>1374.2</v>
      </c>
      <c r="R306" s="4" t="n">
        <f aca="false">O306+Q306</f>
        <v>0</v>
      </c>
    </row>
    <row r="307" customFormat="false" ht="15" hidden="false" customHeight="false" outlineLevel="0" collapsed="false">
      <c r="A307" s="2" t="s">
        <v>48</v>
      </c>
      <c r="B307" s="2" t="s">
        <v>39</v>
      </c>
      <c r="C307" s="12" t="n">
        <v>1</v>
      </c>
      <c r="D307" s="12" t="n">
        <v>2024</v>
      </c>
      <c r="E307" s="4" t="n">
        <f aca="false">INDEX(驱动复算!A2:X2,1,情景参数!B10)</f>
        <v>0</v>
      </c>
      <c r="F307" s="4" t="n">
        <f aca="false">E307*(1-情景参数!D10)</f>
        <v>0</v>
      </c>
      <c r="G307" s="4" t="n">
        <f aca="false">IF(情景参数!E10="原表",驱动复算!U2-驱动复算!W2,驱动复算!P2)</f>
        <v>0</v>
      </c>
      <c r="H307" s="4" t="n">
        <f aca="false">IF(情景参数!E10="原表",驱动复算!W2,F307*情景参数!C10)</f>
        <v>0</v>
      </c>
      <c r="I307" s="4" t="n">
        <f aca="false">IF(情景参数!E10="原表",驱动复算!U2,G307+H307)</f>
        <v>0</v>
      </c>
      <c r="J307" s="4" t="n">
        <f aca="false">(F307-I307)*(1-情景参数!F10)</f>
        <v>0</v>
      </c>
      <c r="K307" s="4" t="n">
        <f aca="false">偿债原表!C3</f>
        <v>0</v>
      </c>
      <c r="L307" s="4" t="n">
        <f aca="false">偿债原表!D3</f>
        <v>1093.2</v>
      </c>
      <c r="M307" s="4" t="n">
        <f aca="false">K307+L307</f>
        <v>1093.2</v>
      </c>
      <c r="N307" s="4" t="n">
        <f aca="false">J307-M307</f>
        <v>-1093.2</v>
      </c>
      <c r="O307" s="4" t="n">
        <f aca="false">O306+N307</f>
        <v>-2467.4</v>
      </c>
      <c r="P307" s="4" t="n">
        <f aca="false">MAX(0,-(R306+N307))</f>
        <v>1093.2</v>
      </c>
      <c r="Q307" s="4" t="n">
        <f aca="false">Q306+P307</f>
        <v>2467.4</v>
      </c>
      <c r="R307" s="4" t="n">
        <f aca="false">O307+Q307</f>
        <v>0</v>
      </c>
    </row>
    <row r="308" customFormat="false" ht="15" hidden="false" customHeight="false" outlineLevel="0" collapsed="false">
      <c r="A308" s="2" t="s">
        <v>48</v>
      </c>
      <c r="B308" s="2" t="s">
        <v>39</v>
      </c>
      <c r="C308" s="12" t="n">
        <v>2</v>
      </c>
      <c r="D308" s="12" t="n">
        <v>2025</v>
      </c>
      <c r="E308" s="4" t="n">
        <f aca="false">INDEX(驱动复算!A3:X3,1,情景参数!B10)</f>
        <v>0</v>
      </c>
      <c r="F308" s="4" t="n">
        <f aca="false">E308*(1-情景参数!D10)</f>
        <v>0</v>
      </c>
      <c r="G308" s="4" t="n">
        <f aca="false">IF(情景参数!E10="原表",驱动复算!U3-驱动复算!W3,驱动复算!P3)</f>
        <v>0</v>
      </c>
      <c r="H308" s="4" t="n">
        <f aca="false">IF(情景参数!E10="原表",驱动复算!W3,F308*情景参数!C10)</f>
        <v>0</v>
      </c>
      <c r="I308" s="4" t="n">
        <f aca="false">IF(情景参数!E10="原表",驱动复算!U3,G308+H308)</f>
        <v>0</v>
      </c>
      <c r="J308" s="4" t="n">
        <f aca="false">(F308-I308)*(1-情景参数!F10)</f>
        <v>0</v>
      </c>
      <c r="K308" s="4" t="n">
        <f aca="false">偿债原表!C4</f>
        <v>0</v>
      </c>
      <c r="L308" s="4" t="n">
        <f aca="false">偿债原表!D4</f>
        <v>1093.2</v>
      </c>
      <c r="M308" s="4" t="n">
        <f aca="false">K308+L308</f>
        <v>1093.2</v>
      </c>
      <c r="N308" s="4" t="n">
        <f aca="false">J308-M308</f>
        <v>-1093.2</v>
      </c>
      <c r="O308" s="4" t="n">
        <f aca="false">O307+N308</f>
        <v>-3560.6</v>
      </c>
      <c r="P308" s="4" t="n">
        <f aca="false">MAX(0,-(R307+N308))</f>
        <v>1093.2</v>
      </c>
      <c r="Q308" s="4" t="n">
        <f aca="false">Q307+P308</f>
        <v>3560.6</v>
      </c>
      <c r="R308" s="4" t="n">
        <f aca="false">O308+Q308</f>
        <v>0</v>
      </c>
    </row>
    <row r="309" customFormat="false" ht="15" hidden="false" customHeight="false" outlineLevel="0" collapsed="false">
      <c r="A309" s="2" t="s">
        <v>48</v>
      </c>
      <c r="B309" s="2" t="s">
        <v>39</v>
      </c>
      <c r="C309" s="12" t="n">
        <v>3</v>
      </c>
      <c r="D309" s="12" t="n">
        <v>2026</v>
      </c>
      <c r="E309" s="4" t="n">
        <f aca="false">INDEX(驱动复算!A4:X4,1,情景参数!B10)</f>
        <v>0</v>
      </c>
      <c r="F309" s="4" t="n">
        <f aca="false">E309*(1-情景参数!D10)</f>
        <v>0</v>
      </c>
      <c r="G309" s="4" t="n">
        <f aca="false">IF(情景参数!E10="原表",驱动复算!U4-驱动复算!W4,驱动复算!P4)</f>
        <v>0</v>
      </c>
      <c r="H309" s="4" t="n">
        <f aca="false">IF(情景参数!E10="原表",驱动复算!W4,F309*情景参数!C10)</f>
        <v>0</v>
      </c>
      <c r="I309" s="4" t="n">
        <f aca="false">IF(情景参数!E10="原表",驱动复算!U4,G309+H309)</f>
        <v>0</v>
      </c>
      <c r="J309" s="4" t="n">
        <f aca="false">(F309-I309)*(1-情景参数!F10)</f>
        <v>0</v>
      </c>
      <c r="K309" s="4" t="n">
        <f aca="false">偿债原表!C5</f>
        <v>0</v>
      </c>
      <c r="L309" s="4" t="n">
        <f aca="false">偿债原表!D5</f>
        <v>1093.2</v>
      </c>
      <c r="M309" s="4" t="n">
        <f aca="false">K309+L309</f>
        <v>1093.2</v>
      </c>
      <c r="N309" s="4" t="n">
        <f aca="false">J309-M309</f>
        <v>-1093.2</v>
      </c>
      <c r="O309" s="4" t="n">
        <f aca="false">O308+N309</f>
        <v>-4653.8</v>
      </c>
      <c r="P309" s="4" t="n">
        <f aca="false">MAX(0,-(R308+N309))</f>
        <v>1093.2</v>
      </c>
      <c r="Q309" s="4" t="n">
        <f aca="false">Q308+P309</f>
        <v>4653.8</v>
      </c>
      <c r="R309" s="4" t="n">
        <f aca="false">O309+Q309</f>
        <v>0</v>
      </c>
    </row>
    <row r="310" customFormat="false" ht="15" hidden="false" customHeight="false" outlineLevel="0" collapsed="false">
      <c r="A310" s="2" t="s">
        <v>48</v>
      </c>
      <c r="B310" s="2" t="s">
        <v>39</v>
      </c>
      <c r="C310" s="12" t="n">
        <v>4</v>
      </c>
      <c r="D310" s="12" t="n">
        <v>2027</v>
      </c>
      <c r="E310" s="4" t="n">
        <f aca="false">INDEX(驱动复算!A5:X5,1,情景参数!B10)</f>
        <v>0</v>
      </c>
      <c r="F310" s="4" t="n">
        <f aca="false">E310*(1-情景参数!D10)</f>
        <v>0</v>
      </c>
      <c r="G310" s="4" t="n">
        <f aca="false">IF(情景参数!E10="原表",驱动复算!U5-驱动复算!W5,驱动复算!P5)</f>
        <v>0</v>
      </c>
      <c r="H310" s="4" t="n">
        <f aca="false">IF(情景参数!E10="原表",驱动复算!W5,F310*情景参数!C10)</f>
        <v>0</v>
      </c>
      <c r="I310" s="4" t="n">
        <f aca="false">IF(情景参数!E10="原表",驱动复算!U5,G310+H310)</f>
        <v>0</v>
      </c>
      <c r="J310" s="4" t="n">
        <f aca="false">(F310-I310)*(1-情景参数!F10)</f>
        <v>0</v>
      </c>
      <c r="K310" s="4" t="n">
        <f aca="false">偿债原表!C6</f>
        <v>0</v>
      </c>
      <c r="L310" s="4" t="n">
        <f aca="false">偿债原表!D6</f>
        <v>1093.2</v>
      </c>
      <c r="M310" s="4" t="n">
        <f aca="false">K310+L310</f>
        <v>1093.2</v>
      </c>
      <c r="N310" s="4" t="n">
        <f aca="false">J310-M310</f>
        <v>-1093.2</v>
      </c>
      <c r="O310" s="4" t="n">
        <f aca="false">O309+N310</f>
        <v>-5747</v>
      </c>
      <c r="P310" s="4" t="n">
        <f aca="false">MAX(0,-(R309+N310))</f>
        <v>1093.2</v>
      </c>
      <c r="Q310" s="4" t="n">
        <f aca="false">Q309+P310</f>
        <v>5747</v>
      </c>
      <c r="R310" s="4" t="n">
        <f aca="false">O310+Q310</f>
        <v>0</v>
      </c>
    </row>
    <row r="311" customFormat="false" ht="15" hidden="false" customHeight="false" outlineLevel="0" collapsed="false">
      <c r="A311" s="2" t="s">
        <v>48</v>
      </c>
      <c r="B311" s="2" t="s">
        <v>39</v>
      </c>
      <c r="C311" s="12" t="n">
        <v>5</v>
      </c>
      <c r="D311" s="12" t="n">
        <v>2028</v>
      </c>
      <c r="E311" s="4" t="n">
        <f aca="false">INDEX(驱动复算!A6:X6,1,情景参数!B10)</f>
        <v>9234.58</v>
      </c>
      <c r="F311" s="4" t="n">
        <f aca="false">E311*(1-情景参数!D10)</f>
        <v>9234.58</v>
      </c>
      <c r="G311" s="4" t="n">
        <f aca="false">IF(情景参数!E10="原表",驱动复算!U6-驱动复算!W6,驱动复算!P6)</f>
        <v>7355</v>
      </c>
      <c r="H311" s="4" t="n">
        <f aca="false">IF(情景参数!E10="原表",驱动复算!W6,F311*情景参数!C10)</f>
        <v>184.69</v>
      </c>
      <c r="I311" s="4" t="n">
        <f aca="false">IF(情景参数!E10="原表",驱动复算!U6,G311+H311)</f>
        <v>7539.69</v>
      </c>
      <c r="J311" s="4" t="n">
        <f aca="false">(F311-I311)*(1-情景参数!F10)</f>
        <v>1610.1455</v>
      </c>
      <c r="K311" s="4" t="n">
        <f aca="false">偿债原表!C7</f>
        <v>11000</v>
      </c>
      <c r="L311" s="4" t="n">
        <f aca="false">偿债原表!D7</f>
        <v>1093.2</v>
      </c>
      <c r="M311" s="4" t="n">
        <f aca="false">K311+L311</f>
        <v>12093.2</v>
      </c>
      <c r="N311" s="4" t="n">
        <f aca="false">J311-M311</f>
        <v>-10483.0545</v>
      </c>
      <c r="O311" s="4" t="n">
        <f aca="false">O310+N311</f>
        <v>-16230.0545</v>
      </c>
      <c r="P311" s="4" t="n">
        <f aca="false">MAX(0,-(R310+N311))</f>
        <v>10483.0545</v>
      </c>
      <c r="Q311" s="4" t="n">
        <f aca="false">Q310+P311</f>
        <v>16230.0545</v>
      </c>
      <c r="R311" s="4" t="n">
        <f aca="false">O311+Q311</f>
        <v>0</v>
      </c>
    </row>
    <row r="312" customFormat="false" ht="15" hidden="false" customHeight="false" outlineLevel="0" collapsed="false">
      <c r="A312" s="2" t="s">
        <v>48</v>
      </c>
      <c r="B312" s="2" t="s">
        <v>39</v>
      </c>
      <c r="C312" s="12" t="n">
        <v>6</v>
      </c>
      <c r="D312" s="12" t="n">
        <v>2029</v>
      </c>
      <c r="E312" s="4" t="n">
        <f aca="false">INDEX(驱动复算!A7:X7,1,情景参数!B10)</f>
        <v>10123.19</v>
      </c>
      <c r="F312" s="4" t="n">
        <f aca="false">E312*(1-情景参数!D10)</f>
        <v>10123.19</v>
      </c>
      <c r="G312" s="4" t="n">
        <f aca="false">IF(情景参数!E10="原表",驱动复算!U7-驱动复算!W7,驱动复算!P7)</f>
        <v>7575.65</v>
      </c>
      <c r="H312" s="4" t="n">
        <f aca="false">IF(情景参数!E10="原表",驱动复算!W7,F312*情景参数!C10)</f>
        <v>202.46</v>
      </c>
      <c r="I312" s="4" t="n">
        <f aca="false">IF(情景参数!E10="原表",驱动复算!U7,G312+H312)</f>
        <v>7778.11</v>
      </c>
      <c r="J312" s="4" t="n">
        <f aca="false">(F312-I312)*(1-情景参数!F10)</f>
        <v>2227.826</v>
      </c>
      <c r="K312" s="4" t="n">
        <f aca="false">偿债原表!C8</f>
        <v>0</v>
      </c>
      <c r="L312" s="4" t="n">
        <f aca="false">偿债原表!D8</f>
        <v>730.2</v>
      </c>
      <c r="M312" s="4" t="n">
        <f aca="false">K312+L312</f>
        <v>730.2</v>
      </c>
      <c r="N312" s="4" t="n">
        <f aca="false">J312-M312</f>
        <v>1497.626</v>
      </c>
      <c r="O312" s="4" t="n">
        <f aca="false">O311+N312</f>
        <v>-14732.4285</v>
      </c>
      <c r="P312" s="4" t="n">
        <f aca="false">MAX(0,-(R311+N312))</f>
        <v>0</v>
      </c>
      <c r="Q312" s="4" t="n">
        <f aca="false">Q311+P312</f>
        <v>16230.0545</v>
      </c>
      <c r="R312" s="4" t="n">
        <f aca="false">O312+Q312</f>
        <v>1497.626</v>
      </c>
    </row>
    <row r="313" customFormat="false" ht="15" hidden="false" customHeight="false" outlineLevel="0" collapsed="false">
      <c r="A313" s="2" t="s">
        <v>48</v>
      </c>
      <c r="B313" s="2" t="s">
        <v>39</v>
      </c>
      <c r="C313" s="12" t="n">
        <v>7</v>
      </c>
      <c r="D313" s="12" t="n">
        <v>2030</v>
      </c>
      <c r="E313" s="4" t="n">
        <f aca="false">INDEX(驱动复算!A8:X8,1,情景参数!B10)</f>
        <v>11041.69</v>
      </c>
      <c r="F313" s="4" t="n">
        <f aca="false">E313*(1-情景参数!D10)</f>
        <v>11041.69</v>
      </c>
      <c r="G313" s="4" t="n">
        <f aca="false">IF(情景参数!E10="原表",驱动复算!U8-驱动复算!W8,驱动复算!P8)</f>
        <v>7802.91</v>
      </c>
      <c r="H313" s="4" t="n">
        <f aca="false">IF(情景参数!E10="原表",驱动复算!W8,F313*情景参数!C10)</f>
        <v>220.83</v>
      </c>
      <c r="I313" s="4" t="n">
        <f aca="false">IF(情景参数!E10="原表",驱动复算!U8,G313+H313)</f>
        <v>8023.74</v>
      </c>
      <c r="J313" s="4" t="n">
        <f aca="false">(F313-I313)*(1-情景参数!F10)</f>
        <v>2867.0525</v>
      </c>
      <c r="K313" s="4" t="n">
        <f aca="false">偿债原表!C9</f>
        <v>0</v>
      </c>
      <c r="L313" s="4" t="n">
        <f aca="false">偿债原表!D9</f>
        <v>730.2</v>
      </c>
      <c r="M313" s="4" t="n">
        <f aca="false">K313+L313</f>
        <v>730.2</v>
      </c>
      <c r="N313" s="4" t="n">
        <f aca="false">J313-M313</f>
        <v>2136.8525</v>
      </c>
      <c r="O313" s="4" t="n">
        <f aca="false">O312+N313</f>
        <v>-12595.576</v>
      </c>
      <c r="P313" s="4" t="n">
        <f aca="false">MAX(0,-(R312+N313))</f>
        <v>0</v>
      </c>
      <c r="Q313" s="4" t="n">
        <f aca="false">Q312+P313</f>
        <v>16230.0545</v>
      </c>
      <c r="R313" s="4" t="n">
        <f aca="false">O313+Q313</f>
        <v>3634.4785</v>
      </c>
    </row>
    <row r="314" customFormat="false" ht="15" hidden="false" customHeight="false" outlineLevel="0" collapsed="false">
      <c r="A314" s="2" t="s">
        <v>48</v>
      </c>
      <c r="B314" s="2" t="s">
        <v>39</v>
      </c>
      <c r="C314" s="12" t="n">
        <v>8</v>
      </c>
      <c r="D314" s="12" t="n">
        <v>2031</v>
      </c>
      <c r="E314" s="4" t="n">
        <f aca="false">INDEX(驱动复算!A9:X9,1,情景参数!B10)</f>
        <v>12052.04</v>
      </c>
      <c r="F314" s="4" t="n">
        <f aca="false">E314*(1-情景参数!D10)</f>
        <v>12052.04</v>
      </c>
      <c r="G314" s="4" t="n">
        <f aca="false">IF(情景参数!E10="原表",驱动复算!U9-驱动复算!W9,驱动复算!P9)</f>
        <v>8037</v>
      </c>
      <c r="H314" s="4" t="n">
        <f aca="false">IF(情景参数!E10="原表",驱动复算!W9,F314*情景参数!C10)</f>
        <v>241.04</v>
      </c>
      <c r="I314" s="4" t="n">
        <f aca="false">IF(情景参数!E10="原表",驱动复算!U9,G314+H314)</f>
        <v>8278.04</v>
      </c>
      <c r="J314" s="4" t="n">
        <f aca="false">(F314-I314)*(1-情景参数!F10)</f>
        <v>3585.3</v>
      </c>
      <c r="K314" s="4" t="n">
        <f aca="false">偿债原表!C10</f>
        <v>0</v>
      </c>
      <c r="L314" s="4" t="n">
        <f aca="false">偿债原表!D10</f>
        <v>730.2</v>
      </c>
      <c r="M314" s="4" t="n">
        <f aca="false">K314+L314</f>
        <v>730.2</v>
      </c>
      <c r="N314" s="4" t="n">
        <f aca="false">J314-M314</f>
        <v>2855.1</v>
      </c>
      <c r="O314" s="4" t="n">
        <f aca="false">O313+N314</f>
        <v>-9740.476</v>
      </c>
      <c r="P314" s="4" t="n">
        <f aca="false">MAX(0,-(R313+N314))</f>
        <v>0</v>
      </c>
      <c r="Q314" s="4" t="n">
        <f aca="false">Q313+P314</f>
        <v>16230.0545</v>
      </c>
      <c r="R314" s="4" t="n">
        <f aca="false">O314+Q314</f>
        <v>6489.5785</v>
      </c>
    </row>
    <row r="315" customFormat="false" ht="15" hidden="false" customHeight="false" outlineLevel="0" collapsed="false">
      <c r="A315" s="2" t="s">
        <v>48</v>
      </c>
      <c r="B315" s="2" t="s">
        <v>39</v>
      </c>
      <c r="C315" s="12" t="n">
        <v>9</v>
      </c>
      <c r="D315" s="12" t="n">
        <v>2032</v>
      </c>
      <c r="E315" s="4" t="n">
        <f aca="false">INDEX(驱动复算!A10:X10,1,情景参数!B10)</f>
        <v>13163.43</v>
      </c>
      <c r="F315" s="4" t="n">
        <f aca="false">E315*(1-情景参数!D10)</f>
        <v>13163.43</v>
      </c>
      <c r="G315" s="4" t="n">
        <f aca="false">IF(情景参数!E10="原表",驱动复算!U10-驱动复算!W10,驱动复算!P10)</f>
        <v>8278.11</v>
      </c>
      <c r="H315" s="4" t="n">
        <f aca="false">IF(情景参数!E10="原表",驱动复算!W10,F315*情景参数!C10)</f>
        <v>263.27</v>
      </c>
      <c r="I315" s="4" t="n">
        <f aca="false">IF(情景参数!E10="原表",驱动复算!U10,G315+H315)</f>
        <v>8541.38</v>
      </c>
      <c r="J315" s="4" t="n">
        <f aca="false">(F315-I315)*(1-情景参数!F10)</f>
        <v>4390.9475</v>
      </c>
      <c r="K315" s="4" t="n">
        <f aca="false">偿债原表!C11</f>
        <v>2000</v>
      </c>
      <c r="L315" s="4" t="n">
        <f aca="false">偿债原表!D11</f>
        <v>730.2</v>
      </c>
      <c r="M315" s="4" t="n">
        <f aca="false">K315+L315</f>
        <v>2730.2</v>
      </c>
      <c r="N315" s="4" t="n">
        <f aca="false">J315-M315</f>
        <v>1660.7475</v>
      </c>
      <c r="O315" s="4" t="n">
        <f aca="false">O314+N315</f>
        <v>-8079.7285</v>
      </c>
      <c r="P315" s="4" t="n">
        <f aca="false">MAX(0,-(R314+N315))</f>
        <v>0</v>
      </c>
      <c r="Q315" s="4" t="n">
        <f aca="false">Q314+P315</f>
        <v>16230.0545</v>
      </c>
      <c r="R315" s="4" t="n">
        <f aca="false">O315+Q315</f>
        <v>8150.326</v>
      </c>
    </row>
    <row r="316" customFormat="false" ht="15" hidden="false" customHeight="false" outlineLevel="0" collapsed="false">
      <c r="A316" s="2" t="s">
        <v>48</v>
      </c>
      <c r="B316" s="2" t="s">
        <v>39</v>
      </c>
      <c r="C316" s="12" t="n">
        <v>10</v>
      </c>
      <c r="D316" s="12" t="n">
        <v>2033</v>
      </c>
      <c r="E316" s="4" t="n">
        <f aca="false">INDEX(驱动复算!A11:X11,1,情景参数!B10)</f>
        <v>14139.86</v>
      </c>
      <c r="F316" s="4" t="n">
        <f aca="false">E316*(1-情景参数!D10)</f>
        <v>14139.86</v>
      </c>
      <c r="G316" s="4" t="n">
        <f aca="false">IF(情景参数!E10="原表",驱动复算!U11-驱动复算!W11,驱动复算!P11)</f>
        <v>8526.47</v>
      </c>
      <c r="H316" s="4" t="n">
        <f aca="false">IF(情景参数!E10="原表",驱动复算!W11,F316*情景参数!C10)</f>
        <v>282.8</v>
      </c>
      <c r="I316" s="4" t="n">
        <f aca="false">IF(情景参数!E10="原表",驱动复算!U11,G316+H316)</f>
        <v>8809.27</v>
      </c>
      <c r="J316" s="4" t="n">
        <f aca="false">(F316-I316)*(1-情景参数!F10)</f>
        <v>5064.0605</v>
      </c>
      <c r="K316" s="4" t="n">
        <f aca="false">偿债原表!C12</f>
        <v>0</v>
      </c>
      <c r="L316" s="4" t="n">
        <f aca="false">偿债原表!D12</f>
        <v>673.2</v>
      </c>
      <c r="M316" s="4" t="n">
        <f aca="false">K316+L316</f>
        <v>673.2</v>
      </c>
      <c r="N316" s="4" t="n">
        <f aca="false">J316-M316</f>
        <v>4390.8605</v>
      </c>
      <c r="O316" s="4" t="n">
        <f aca="false">O315+N316</f>
        <v>-3688.868</v>
      </c>
      <c r="P316" s="4" t="n">
        <f aca="false">MAX(0,-(R315+N316))</f>
        <v>0</v>
      </c>
      <c r="Q316" s="4" t="n">
        <f aca="false">Q315+P316</f>
        <v>16230.0545</v>
      </c>
      <c r="R316" s="4" t="n">
        <f aca="false">O316+Q316</f>
        <v>12541.1865</v>
      </c>
    </row>
    <row r="317" customFormat="false" ht="15" hidden="false" customHeight="false" outlineLevel="0" collapsed="false">
      <c r="A317" s="2" t="s">
        <v>48</v>
      </c>
      <c r="B317" s="2" t="s">
        <v>39</v>
      </c>
      <c r="C317" s="12" t="n">
        <v>11</v>
      </c>
      <c r="D317" s="12" t="n">
        <v>2034</v>
      </c>
      <c r="E317" s="4" t="n">
        <f aca="false">INDEX(驱动复算!A12:X12,1,情景参数!B10)</f>
        <v>14781.69</v>
      </c>
      <c r="F317" s="4" t="n">
        <f aca="false">E317*(1-情景参数!D10)</f>
        <v>14781.69</v>
      </c>
      <c r="G317" s="4" t="n">
        <f aca="false">IF(情景参数!E10="原表",驱动复算!U12-驱动复算!W12,驱动复算!P12)</f>
        <v>8782.26</v>
      </c>
      <c r="H317" s="4" t="n">
        <f aca="false">IF(情景参数!E10="原表",驱动复算!W12,F317*情景参数!C10)</f>
        <v>295.63</v>
      </c>
      <c r="I317" s="4" t="n">
        <f aca="false">IF(情景参数!E10="原表",驱动复算!U12,G317+H317)</f>
        <v>9077.89</v>
      </c>
      <c r="J317" s="4" t="n">
        <f aca="false">(F317-I317)*(1-情景参数!F10)</f>
        <v>5418.61</v>
      </c>
      <c r="K317" s="4" t="n">
        <f aca="false">偿债原表!C13</f>
        <v>0</v>
      </c>
      <c r="L317" s="4" t="n">
        <f aca="false">偿债原表!D13</f>
        <v>673.2</v>
      </c>
      <c r="M317" s="4" t="n">
        <f aca="false">K317+L317</f>
        <v>673.2</v>
      </c>
      <c r="N317" s="4" t="n">
        <f aca="false">J317-M317</f>
        <v>4745.41</v>
      </c>
      <c r="O317" s="4" t="n">
        <f aca="false">O316+N317</f>
        <v>1056.542</v>
      </c>
      <c r="P317" s="4" t="n">
        <f aca="false">MAX(0,-(R316+N317))</f>
        <v>0</v>
      </c>
      <c r="Q317" s="4" t="n">
        <f aca="false">Q316+P317</f>
        <v>16230.0545</v>
      </c>
      <c r="R317" s="4" t="n">
        <f aca="false">O317+Q317</f>
        <v>17286.5965</v>
      </c>
    </row>
    <row r="318" customFormat="false" ht="15" hidden="false" customHeight="false" outlineLevel="0" collapsed="false">
      <c r="A318" s="2" t="s">
        <v>48</v>
      </c>
      <c r="B318" s="2" t="s">
        <v>39</v>
      </c>
      <c r="C318" s="12" t="n">
        <v>12</v>
      </c>
      <c r="D318" s="12" t="n">
        <v>2035</v>
      </c>
      <c r="E318" s="4" t="n">
        <f aca="false">INDEX(驱动复算!A13:X13,1,情景参数!B10)</f>
        <v>15455.6</v>
      </c>
      <c r="F318" s="4" t="n">
        <f aca="false">E318*(1-情景参数!D10)</f>
        <v>15455.6</v>
      </c>
      <c r="G318" s="4" t="n">
        <f aca="false">IF(情景参数!E10="原表",驱动复算!U13-驱动复算!W13,驱动复算!P13)</f>
        <v>9045.74</v>
      </c>
      <c r="H318" s="4" t="n">
        <f aca="false">IF(情景参数!E10="原表",驱动复算!W13,F318*情景参数!C10)</f>
        <v>309.11</v>
      </c>
      <c r="I318" s="4" t="n">
        <f aca="false">IF(情景参数!E10="原表",驱动复算!U13,G318+H318)</f>
        <v>9354.85</v>
      </c>
      <c r="J318" s="4" t="n">
        <f aca="false">(F318-I318)*(1-情景参数!F10)</f>
        <v>5795.7125</v>
      </c>
      <c r="K318" s="4" t="n">
        <f aca="false">偿债原表!C14</f>
        <v>0</v>
      </c>
      <c r="L318" s="4" t="n">
        <f aca="false">偿债原表!D14</f>
        <v>673.2</v>
      </c>
      <c r="M318" s="4" t="n">
        <f aca="false">K318+L318</f>
        <v>673.2</v>
      </c>
      <c r="N318" s="4" t="n">
        <f aca="false">J318-M318</f>
        <v>5122.5125</v>
      </c>
      <c r="O318" s="4" t="n">
        <f aca="false">O317+N318</f>
        <v>6179.0545</v>
      </c>
      <c r="P318" s="4" t="n">
        <f aca="false">MAX(0,-(R317+N318))</f>
        <v>0</v>
      </c>
      <c r="Q318" s="4" t="n">
        <f aca="false">Q317+P318</f>
        <v>16230.0545</v>
      </c>
      <c r="R318" s="4" t="n">
        <f aca="false">O318+Q318</f>
        <v>22409.109</v>
      </c>
    </row>
    <row r="319" customFormat="false" ht="15" hidden="false" customHeight="false" outlineLevel="0" collapsed="false">
      <c r="A319" s="2" t="s">
        <v>48</v>
      </c>
      <c r="B319" s="2" t="s">
        <v>39</v>
      </c>
      <c r="C319" s="12" t="n">
        <v>13</v>
      </c>
      <c r="D319" s="12" t="n">
        <v>2036</v>
      </c>
      <c r="E319" s="4" t="n">
        <f aca="false">INDEX(驱动复算!A14:X14,1,情景参数!B10)</f>
        <v>16163.21</v>
      </c>
      <c r="F319" s="4" t="n">
        <f aca="false">E319*(1-情景参数!D10)</f>
        <v>16163.21</v>
      </c>
      <c r="G319" s="4" t="n">
        <f aca="false">IF(情景参数!E10="原表",驱动复算!U14-驱动复算!W14,驱动复算!P14)</f>
        <v>9317.11</v>
      </c>
      <c r="H319" s="4" t="n">
        <f aca="false">IF(情景参数!E10="原表",驱动复算!W14,F319*情景参数!C10)</f>
        <v>323.26</v>
      </c>
      <c r="I319" s="4" t="n">
        <f aca="false">IF(情景参数!E10="原表",驱动复算!U14,G319+H319)</f>
        <v>9640.37</v>
      </c>
      <c r="J319" s="4" t="n">
        <f aca="false">(F319-I319)*(1-情景参数!F10)</f>
        <v>6196.698</v>
      </c>
      <c r="K319" s="4" t="n">
        <f aca="false">偿债原表!C15</f>
        <v>0</v>
      </c>
      <c r="L319" s="4" t="n">
        <f aca="false">偿债原表!D15</f>
        <v>673.2</v>
      </c>
      <c r="M319" s="4" t="n">
        <f aca="false">K319+L319</f>
        <v>673.2</v>
      </c>
      <c r="N319" s="4" t="n">
        <f aca="false">J319-M319</f>
        <v>5523.498</v>
      </c>
      <c r="O319" s="4" t="n">
        <f aca="false">O318+N319</f>
        <v>11702.5525</v>
      </c>
      <c r="P319" s="4" t="n">
        <f aca="false">MAX(0,-(R318+N319))</f>
        <v>0</v>
      </c>
      <c r="Q319" s="4" t="n">
        <f aca="false">Q318+P319</f>
        <v>16230.0545</v>
      </c>
      <c r="R319" s="4" t="n">
        <f aca="false">O319+Q319</f>
        <v>27932.607</v>
      </c>
    </row>
    <row r="320" customFormat="false" ht="15" hidden="false" customHeight="false" outlineLevel="0" collapsed="false">
      <c r="A320" s="2" t="s">
        <v>48</v>
      </c>
      <c r="B320" s="2" t="s">
        <v>39</v>
      </c>
      <c r="C320" s="12" t="n">
        <v>14</v>
      </c>
      <c r="D320" s="12" t="n">
        <v>2037</v>
      </c>
      <c r="E320" s="4" t="n">
        <f aca="false">INDEX(驱动复算!A15:X15,1,情景参数!B10)</f>
        <v>16906.2</v>
      </c>
      <c r="F320" s="4" t="n">
        <f aca="false">E320*(1-情景参数!D10)</f>
        <v>16906.2</v>
      </c>
      <c r="G320" s="4" t="n">
        <f aca="false">IF(情景参数!E10="原表",驱动复算!U15-驱动复算!W15,驱动复算!P15)</f>
        <v>9596.62</v>
      </c>
      <c r="H320" s="4" t="n">
        <f aca="false">IF(情景参数!E10="原表",驱动复算!W15,F320*情景参数!C10)</f>
        <v>329.21</v>
      </c>
      <c r="I320" s="4" t="n">
        <f aca="false">IF(情景参数!E10="原表",驱动复算!U15,G320+H320)</f>
        <v>9925.83</v>
      </c>
      <c r="J320" s="4" t="n">
        <f aca="false">(F320-I320)*(1-情景参数!F10)</f>
        <v>6631.3515</v>
      </c>
      <c r="K320" s="4" t="n">
        <f aca="false">偿债原表!C16</f>
        <v>1000</v>
      </c>
      <c r="L320" s="4" t="n">
        <f aca="false">偿债原表!D16</f>
        <v>673.2</v>
      </c>
      <c r="M320" s="4" t="n">
        <f aca="false">K320+L320</f>
        <v>1673.2</v>
      </c>
      <c r="N320" s="4" t="n">
        <f aca="false">J320-M320</f>
        <v>4958.1515</v>
      </c>
      <c r="O320" s="4" t="n">
        <f aca="false">O319+N320</f>
        <v>16660.704</v>
      </c>
      <c r="P320" s="4" t="n">
        <f aca="false">MAX(0,-(R319+N320))</f>
        <v>0</v>
      </c>
      <c r="Q320" s="4" t="n">
        <f aca="false">Q319+P320</f>
        <v>16230.0545</v>
      </c>
      <c r="R320" s="4" t="n">
        <f aca="false">O320+Q320</f>
        <v>32890.7585</v>
      </c>
    </row>
    <row r="321" customFormat="false" ht="15" hidden="false" customHeight="false" outlineLevel="0" collapsed="false">
      <c r="A321" s="2" t="s">
        <v>48</v>
      </c>
      <c r="B321" s="2" t="s">
        <v>39</v>
      </c>
      <c r="C321" s="12" t="n">
        <v>15</v>
      </c>
      <c r="D321" s="12" t="n">
        <v>2038</v>
      </c>
      <c r="E321" s="4" t="n">
        <f aca="false">INDEX(驱动复算!A16:X16,1,情景参数!B10)</f>
        <v>17546.68</v>
      </c>
      <c r="F321" s="4" t="n">
        <f aca="false">E321*(1-情景参数!D10)</f>
        <v>17546.68</v>
      </c>
      <c r="G321" s="4" t="n">
        <f aca="false">IF(情景参数!E10="原表",驱动复算!U16-驱动复算!W16,驱动复算!P16)</f>
        <v>9884.51</v>
      </c>
      <c r="H321" s="4" t="n">
        <f aca="false">IF(情景参数!E10="原表",驱动复算!W16,F321*情景参数!C10)</f>
        <v>341.84</v>
      </c>
      <c r="I321" s="4" t="n">
        <f aca="false">IF(情景参数!E10="原表",驱动复算!U16,G321+H321)</f>
        <v>10226.35</v>
      </c>
      <c r="J321" s="4" t="n">
        <f aca="false">(F321-I321)*(1-情景参数!F10)</f>
        <v>6954.3135</v>
      </c>
      <c r="K321" s="4" t="n">
        <f aca="false">偿债原表!C17</f>
        <v>0</v>
      </c>
      <c r="L321" s="4" t="n">
        <f aca="false">偿债原表!D17</f>
        <v>644</v>
      </c>
      <c r="M321" s="4" t="n">
        <f aca="false">K321+L321</f>
        <v>644</v>
      </c>
      <c r="N321" s="4" t="n">
        <f aca="false">J321-M321</f>
        <v>6310.3135</v>
      </c>
      <c r="O321" s="4" t="n">
        <f aca="false">O320+N321</f>
        <v>22971.0175</v>
      </c>
      <c r="P321" s="4" t="n">
        <f aca="false">MAX(0,-(R320+N321))</f>
        <v>0</v>
      </c>
      <c r="Q321" s="4" t="n">
        <f aca="false">Q320+P321</f>
        <v>16230.0545</v>
      </c>
      <c r="R321" s="4" t="n">
        <f aca="false">O321+Q321</f>
        <v>39201.072</v>
      </c>
    </row>
    <row r="322" customFormat="false" ht="15" hidden="false" customHeight="false" outlineLevel="0" collapsed="false">
      <c r="A322" s="2" t="s">
        <v>48</v>
      </c>
      <c r="B322" s="2" t="s">
        <v>39</v>
      </c>
      <c r="C322" s="12" t="n">
        <v>16</v>
      </c>
      <c r="D322" s="12" t="n">
        <v>2039</v>
      </c>
      <c r="E322" s="4" t="n">
        <f aca="false">INDEX(驱动复算!A17:X17,1,情景参数!B10)</f>
        <v>17864.98</v>
      </c>
      <c r="F322" s="4" t="n">
        <f aca="false">E322*(1-情景参数!D10)</f>
        <v>17864.98</v>
      </c>
      <c r="G322" s="4" t="n">
        <f aca="false">IF(情景参数!E10="原表",驱动复算!U17-驱动复算!W17,驱动复算!P17)</f>
        <v>10181.04</v>
      </c>
      <c r="H322" s="4" t="n">
        <f aca="false">IF(情景参数!E10="原表",驱动复算!W17,F322*情景参数!C10)</f>
        <v>348.02</v>
      </c>
      <c r="I322" s="4" t="n">
        <f aca="false">IF(情景参数!E10="原表",驱动复算!U17,G322+H322)</f>
        <v>10529.06</v>
      </c>
      <c r="J322" s="4" t="n">
        <f aca="false">(F322-I322)*(1-情景参数!F10)</f>
        <v>6969.124</v>
      </c>
      <c r="K322" s="4" t="n">
        <f aca="false">偿债原表!C18</f>
        <v>0</v>
      </c>
      <c r="L322" s="4" t="n">
        <f aca="false">偿债原表!D18</f>
        <v>644</v>
      </c>
      <c r="M322" s="4" t="n">
        <f aca="false">K322+L322</f>
        <v>644</v>
      </c>
      <c r="N322" s="4" t="n">
        <f aca="false">J322-M322</f>
        <v>6325.124</v>
      </c>
      <c r="O322" s="4" t="n">
        <f aca="false">O321+N322</f>
        <v>29296.1415</v>
      </c>
      <c r="P322" s="4" t="n">
        <f aca="false">MAX(0,-(R321+N322))</f>
        <v>0</v>
      </c>
      <c r="Q322" s="4" t="n">
        <f aca="false">Q321+P322</f>
        <v>16230.0545</v>
      </c>
      <c r="R322" s="4" t="n">
        <f aca="false">O322+Q322</f>
        <v>45526.196</v>
      </c>
    </row>
    <row r="323" customFormat="false" ht="15" hidden="false" customHeight="false" outlineLevel="0" collapsed="false">
      <c r="A323" s="2" t="s">
        <v>48</v>
      </c>
      <c r="B323" s="2" t="s">
        <v>39</v>
      </c>
      <c r="C323" s="12" t="n">
        <v>17</v>
      </c>
      <c r="D323" s="12" t="n">
        <v>2040</v>
      </c>
      <c r="E323" s="4" t="n">
        <f aca="false">INDEX(驱动复算!A18:X18,1,情景参数!B10)</f>
        <v>18189.64</v>
      </c>
      <c r="F323" s="4" t="n">
        <f aca="false">E323*(1-情景参数!D10)</f>
        <v>18189.64</v>
      </c>
      <c r="G323" s="4" t="n">
        <f aca="false">IF(情景参数!E10="原表",驱动复算!U18-驱动复算!W18,驱动复算!P18)</f>
        <v>10486.47</v>
      </c>
      <c r="H323" s="4" t="n">
        <f aca="false">IF(情景参数!E10="原表",驱动复算!W18,F323*情景参数!C10)</f>
        <v>354.33</v>
      </c>
      <c r="I323" s="4" t="n">
        <f aca="false">IF(情景参数!E10="原表",驱动复算!U18,G323+H323)</f>
        <v>10840.8</v>
      </c>
      <c r="J323" s="4" t="n">
        <f aca="false">(F323-I323)*(1-情景参数!F10)</f>
        <v>6981.398</v>
      </c>
      <c r="K323" s="4" t="n">
        <f aca="false">偿债原表!C19</f>
        <v>0</v>
      </c>
      <c r="L323" s="4" t="n">
        <f aca="false">偿债原表!D19</f>
        <v>644</v>
      </c>
      <c r="M323" s="4" t="n">
        <f aca="false">K323+L323</f>
        <v>644</v>
      </c>
      <c r="N323" s="4" t="n">
        <f aca="false">J323-M323</f>
        <v>6337.398</v>
      </c>
      <c r="O323" s="4" t="n">
        <f aca="false">O322+N323</f>
        <v>35633.5395</v>
      </c>
      <c r="P323" s="4" t="n">
        <f aca="false">MAX(0,-(R322+N323))</f>
        <v>0</v>
      </c>
      <c r="Q323" s="4" t="n">
        <f aca="false">Q322+P323</f>
        <v>16230.0545</v>
      </c>
      <c r="R323" s="4" t="n">
        <f aca="false">O323+Q323</f>
        <v>51863.594</v>
      </c>
    </row>
    <row r="324" customFormat="false" ht="15" hidden="false" customHeight="false" outlineLevel="0" collapsed="false">
      <c r="A324" s="2" t="s">
        <v>48</v>
      </c>
      <c r="B324" s="2" t="s">
        <v>39</v>
      </c>
      <c r="C324" s="12" t="n">
        <v>18</v>
      </c>
      <c r="D324" s="12" t="n">
        <v>2041</v>
      </c>
      <c r="E324" s="4" t="n">
        <f aca="false">INDEX(驱动复算!A19:X19,1,情景参数!B10)</f>
        <v>18520.8</v>
      </c>
      <c r="F324" s="4" t="n">
        <f aca="false">E324*(1-情景参数!D10)</f>
        <v>18520.8</v>
      </c>
      <c r="G324" s="4" t="n">
        <f aca="false">IF(情景参数!E10="原表",驱动复算!U19-驱动复算!W19,驱动复算!P19)</f>
        <v>10801.07</v>
      </c>
      <c r="H324" s="4" t="n">
        <f aca="false">IF(情景参数!E10="原表",驱动复算!W19,F324*情景参数!C10)</f>
        <v>360.77</v>
      </c>
      <c r="I324" s="4" t="n">
        <f aca="false">IF(情景参数!E10="原表",驱动复算!U19,G324+H324)</f>
        <v>11161.84</v>
      </c>
      <c r="J324" s="4" t="n">
        <f aca="false">(F324-I324)*(1-情景参数!F10)</f>
        <v>6991.012</v>
      </c>
      <c r="K324" s="4" t="n">
        <f aca="false">偿债原表!C20</f>
        <v>20000</v>
      </c>
      <c r="L324" s="4" t="n">
        <f aca="false">偿债原表!D20</f>
        <v>644</v>
      </c>
      <c r="M324" s="4" t="n">
        <f aca="false">K324+L324</f>
        <v>20644</v>
      </c>
      <c r="N324" s="4" t="n">
        <f aca="false">J324-M324</f>
        <v>-13652.988</v>
      </c>
      <c r="O324" s="4" t="n">
        <f aca="false">O323+N324</f>
        <v>21980.5515</v>
      </c>
      <c r="P324" s="4" t="n">
        <f aca="false">MAX(0,-(R323+N324))</f>
        <v>0</v>
      </c>
      <c r="Q324" s="4" t="n">
        <f aca="false">Q323+P324</f>
        <v>16230.0545</v>
      </c>
      <c r="R324" s="4" t="n">
        <f aca="false">O324+Q324</f>
        <v>38210.606</v>
      </c>
    </row>
    <row r="325" customFormat="false" ht="15" hidden="false" customHeight="false" outlineLevel="0" collapsed="false">
      <c r="A325" s="2" t="s">
        <v>48</v>
      </c>
      <c r="B325" s="2" t="s">
        <v>40</v>
      </c>
      <c r="C325" s="12" t="n">
        <v>0</v>
      </c>
      <c r="D325" s="13" t="s">
        <v>248</v>
      </c>
      <c r="E325" s="4" t="n">
        <f aca="false">0</f>
        <v>0</v>
      </c>
      <c r="F325" s="4" t="n">
        <f aca="false">E325*(1-情景参数!D10)</f>
        <v>0</v>
      </c>
      <c r="G325" s="4" t="n">
        <f aca="false">0</f>
        <v>0</v>
      </c>
      <c r="H325" s="4" t="n">
        <f aca="false">0</f>
        <v>0</v>
      </c>
      <c r="I325" s="4" t="n">
        <f aca="false">0</f>
        <v>0</v>
      </c>
      <c r="J325" s="4" t="n">
        <f aca="false">(F325-I325)*(1-情景参数!F10)</f>
        <v>0</v>
      </c>
      <c r="K325" s="4" t="n">
        <f aca="false">偿债原表!F2</f>
        <v>0</v>
      </c>
      <c r="L325" s="4" t="n">
        <f aca="false">偿债原表!G2</f>
        <v>1374.2</v>
      </c>
      <c r="M325" s="4" t="n">
        <f aca="false">K325+L325</f>
        <v>1374.2</v>
      </c>
      <c r="N325" s="4" t="n">
        <f aca="false">J325-M325</f>
        <v>-1374.2</v>
      </c>
      <c r="O325" s="4" t="n">
        <f aca="false">N325</f>
        <v>-1374.2</v>
      </c>
      <c r="P325" s="4" t="n">
        <f aca="false">MAX(0,-N325)</f>
        <v>1374.2</v>
      </c>
      <c r="Q325" s="4" t="n">
        <f aca="false">P325</f>
        <v>1374.2</v>
      </c>
      <c r="R325" s="4" t="n">
        <f aca="false">O325+Q325</f>
        <v>0</v>
      </c>
    </row>
    <row r="326" customFormat="false" ht="15" hidden="false" customHeight="false" outlineLevel="0" collapsed="false">
      <c r="A326" s="2" t="s">
        <v>48</v>
      </c>
      <c r="B326" s="2" t="s">
        <v>40</v>
      </c>
      <c r="C326" s="12" t="n">
        <v>1</v>
      </c>
      <c r="D326" s="12" t="n">
        <v>2024</v>
      </c>
      <c r="E326" s="4" t="n">
        <f aca="false">INDEX(驱动复算!A2:X2,1,情景参数!B10)</f>
        <v>0</v>
      </c>
      <c r="F326" s="4" t="n">
        <f aca="false">E326*(1-情景参数!D10)</f>
        <v>0</v>
      </c>
      <c r="G326" s="4" t="n">
        <f aca="false">IF(情景参数!E10="原表",驱动复算!U2-驱动复算!W2,驱动复算!P2)</f>
        <v>0</v>
      </c>
      <c r="H326" s="4" t="n">
        <f aca="false">IF(情景参数!E10="原表",驱动复算!W2,F326*情景参数!C10)</f>
        <v>0</v>
      </c>
      <c r="I326" s="4" t="n">
        <f aca="false">IF(情景参数!E10="原表",驱动复算!U2,G326+H326)</f>
        <v>0</v>
      </c>
      <c r="J326" s="4" t="n">
        <f aca="false">(F326-I326)*(1-情景参数!F10)</f>
        <v>0</v>
      </c>
      <c r="K326" s="4" t="n">
        <f aca="false">偿债原表!F3</f>
        <v>0</v>
      </c>
      <c r="L326" s="4" t="n">
        <f aca="false">偿债原表!G3</f>
        <v>1107.58</v>
      </c>
      <c r="M326" s="4" t="n">
        <f aca="false">K326+L326</f>
        <v>1107.58</v>
      </c>
      <c r="N326" s="4" t="n">
        <f aca="false">J326-M326</f>
        <v>-1107.58</v>
      </c>
      <c r="O326" s="4" t="n">
        <f aca="false">O325+N326</f>
        <v>-2481.78</v>
      </c>
      <c r="P326" s="4" t="n">
        <f aca="false">MAX(0,-(R325+N326))</f>
        <v>1107.58</v>
      </c>
      <c r="Q326" s="4" t="n">
        <f aca="false">Q325+P326</f>
        <v>2481.78</v>
      </c>
      <c r="R326" s="4" t="n">
        <f aca="false">O326+Q326</f>
        <v>0</v>
      </c>
    </row>
    <row r="327" customFormat="false" ht="15" hidden="false" customHeight="false" outlineLevel="0" collapsed="false">
      <c r="A327" s="2" t="s">
        <v>48</v>
      </c>
      <c r="B327" s="2" t="s">
        <v>40</v>
      </c>
      <c r="C327" s="12" t="n">
        <v>2</v>
      </c>
      <c r="D327" s="12" t="n">
        <v>2025</v>
      </c>
      <c r="E327" s="4" t="n">
        <f aca="false">INDEX(驱动复算!A3:X3,1,情景参数!B10)</f>
        <v>0</v>
      </c>
      <c r="F327" s="4" t="n">
        <f aca="false">E327*(1-情景参数!D10)</f>
        <v>0</v>
      </c>
      <c r="G327" s="4" t="n">
        <f aca="false">IF(情景参数!E10="原表",驱动复算!U3-驱动复算!W3,驱动复算!P3)</f>
        <v>0</v>
      </c>
      <c r="H327" s="4" t="n">
        <f aca="false">IF(情景参数!E10="原表",驱动复算!W3,F327*情景参数!C10)</f>
        <v>0</v>
      </c>
      <c r="I327" s="4" t="n">
        <f aca="false">IF(情景参数!E10="原表",驱动复算!U3,G327+H327)</f>
        <v>0</v>
      </c>
      <c r="J327" s="4" t="n">
        <f aca="false">(F327-I327)*(1-情景参数!F10)</f>
        <v>0</v>
      </c>
      <c r="K327" s="4" t="n">
        <f aca="false">偿债原表!F4</f>
        <v>0</v>
      </c>
      <c r="L327" s="4" t="n">
        <f aca="false">偿债原表!G4</f>
        <v>1107.58</v>
      </c>
      <c r="M327" s="4" t="n">
        <f aca="false">K327+L327</f>
        <v>1107.58</v>
      </c>
      <c r="N327" s="4" t="n">
        <f aca="false">J327-M327</f>
        <v>-1107.58</v>
      </c>
      <c r="O327" s="4" t="n">
        <f aca="false">O326+N327</f>
        <v>-3589.36</v>
      </c>
      <c r="P327" s="4" t="n">
        <f aca="false">MAX(0,-(R326+N327))</f>
        <v>1107.58</v>
      </c>
      <c r="Q327" s="4" t="n">
        <f aca="false">Q326+P327</f>
        <v>3589.36</v>
      </c>
      <c r="R327" s="4" t="n">
        <f aca="false">O327+Q327</f>
        <v>0</v>
      </c>
    </row>
    <row r="328" customFormat="false" ht="15" hidden="false" customHeight="false" outlineLevel="0" collapsed="false">
      <c r="A328" s="2" t="s">
        <v>48</v>
      </c>
      <c r="B328" s="2" t="s">
        <v>40</v>
      </c>
      <c r="C328" s="12" t="n">
        <v>3</v>
      </c>
      <c r="D328" s="12" t="n">
        <v>2026</v>
      </c>
      <c r="E328" s="4" t="n">
        <f aca="false">INDEX(驱动复算!A4:X4,1,情景参数!B10)</f>
        <v>0</v>
      </c>
      <c r="F328" s="4" t="n">
        <f aca="false">E328*(1-情景参数!D10)</f>
        <v>0</v>
      </c>
      <c r="G328" s="4" t="n">
        <f aca="false">IF(情景参数!E10="原表",驱动复算!U4-驱动复算!W4,驱动复算!P4)</f>
        <v>0</v>
      </c>
      <c r="H328" s="4" t="n">
        <f aca="false">IF(情景参数!E10="原表",驱动复算!W4,F328*情景参数!C10)</f>
        <v>0</v>
      </c>
      <c r="I328" s="4" t="n">
        <f aca="false">IF(情景参数!E10="原表",驱动复算!U4,G328+H328)</f>
        <v>0</v>
      </c>
      <c r="J328" s="4" t="n">
        <f aca="false">(F328-I328)*(1-情景参数!F10)</f>
        <v>0</v>
      </c>
      <c r="K328" s="4" t="n">
        <f aca="false">偿债原表!F5</f>
        <v>0</v>
      </c>
      <c r="L328" s="4" t="n">
        <f aca="false">偿债原表!G5</f>
        <v>1107.58</v>
      </c>
      <c r="M328" s="4" t="n">
        <f aca="false">K328+L328</f>
        <v>1107.58</v>
      </c>
      <c r="N328" s="4" t="n">
        <f aca="false">J328-M328</f>
        <v>-1107.58</v>
      </c>
      <c r="O328" s="4" t="n">
        <f aca="false">O327+N328</f>
        <v>-4696.94</v>
      </c>
      <c r="P328" s="4" t="n">
        <f aca="false">MAX(0,-(R327+N328))</f>
        <v>1107.58</v>
      </c>
      <c r="Q328" s="4" t="n">
        <f aca="false">Q327+P328</f>
        <v>4696.94</v>
      </c>
      <c r="R328" s="4" t="n">
        <f aca="false">O328+Q328</f>
        <v>0</v>
      </c>
    </row>
    <row r="329" customFormat="false" ht="15" hidden="false" customHeight="false" outlineLevel="0" collapsed="false">
      <c r="A329" s="2" t="s">
        <v>48</v>
      </c>
      <c r="B329" s="2" t="s">
        <v>40</v>
      </c>
      <c r="C329" s="12" t="n">
        <v>4</v>
      </c>
      <c r="D329" s="12" t="n">
        <v>2027</v>
      </c>
      <c r="E329" s="4" t="n">
        <f aca="false">INDEX(驱动复算!A5:X5,1,情景参数!B10)</f>
        <v>0</v>
      </c>
      <c r="F329" s="4" t="n">
        <f aca="false">E329*(1-情景参数!D10)</f>
        <v>0</v>
      </c>
      <c r="G329" s="4" t="n">
        <f aca="false">IF(情景参数!E10="原表",驱动复算!U5-驱动复算!W5,驱动复算!P5)</f>
        <v>0</v>
      </c>
      <c r="H329" s="4" t="n">
        <f aca="false">IF(情景参数!E10="原表",驱动复算!W5,F329*情景参数!C10)</f>
        <v>0</v>
      </c>
      <c r="I329" s="4" t="n">
        <f aca="false">IF(情景参数!E10="原表",驱动复算!U5,G329+H329)</f>
        <v>0</v>
      </c>
      <c r="J329" s="4" t="n">
        <f aca="false">(F329-I329)*(1-情景参数!F10)</f>
        <v>0</v>
      </c>
      <c r="K329" s="4" t="n">
        <f aca="false">偿债原表!F6</f>
        <v>0</v>
      </c>
      <c r="L329" s="4" t="n">
        <f aca="false">偿债原表!G6</f>
        <v>1107.58</v>
      </c>
      <c r="M329" s="4" t="n">
        <f aca="false">K329+L329</f>
        <v>1107.58</v>
      </c>
      <c r="N329" s="4" t="n">
        <f aca="false">J329-M329</f>
        <v>-1107.58</v>
      </c>
      <c r="O329" s="4" t="n">
        <f aca="false">O328+N329</f>
        <v>-5804.52</v>
      </c>
      <c r="P329" s="4" t="n">
        <f aca="false">MAX(0,-(R328+N329))</f>
        <v>1107.58</v>
      </c>
      <c r="Q329" s="4" t="n">
        <f aca="false">Q328+P329</f>
        <v>5804.52</v>
      </c>
      <c r="R329" s="4" t="n">
        <f aca="false">O329+Q329</f>
        <v>0</v>
      </c>
    </row>
    <row r="330" customFormat="false" ht="15" hidden="false" customHeight="false" outlineLevel="0" collapsed="false">
      <c r="A330" s="2" t="s">
        <v>48</v>
      </c>
      <c r="B330" s="2" t="s">
        <v>40</v>
      </c>
      <c r="C330" s="12" t="n">
        <v>5</v>
      </c>
      <c r="D330" s="12" t="n">
        <v>2028</v>
      </c>
      <c r="E330" s="4" t="n">
        <f aca="false">INDEX(驱动复算!A6:X6,1,情景参数!B10)</f>
        <v>9234.58</v>
      </c>
      <c r="F330" s="4" t="n">
        <f aca="false">E330*(1-情景参数!D10)</f>
        <v>9234.58</v>
      </c>
      <c r="G330" s="4" t="n">
        <f aca="false">IF(情景参数!E10="原表",驱动复算!U6-驱动复算!W6,驱动复算!P6)</f>
        <v>7355</v>
      </c>
      <c r="H330" s="4" t="n">
        <f aca="false">IF(情景参数!E10="原表",驱动复算!W6,F330*情景参数!C10)</f>
        <v>184.69</v>
      </c>
      <c r="I330" s="4" t="n">
        <f aca="false">IF(情景参数!E10="原表",驱动复算!U6,G330+H330)</f>
        <v>7539.69</v>
      </c>
      <c r="J330" s="4" t="n">
        <f aca="false">(F330-I330)*(1-情景参数!F10)</f>
        <v>1610.1455</v>
      </c>
      <c r="K330" s="4" t="n">
        <f aca="false">偿债原表!F7</f>
        <v>1400</v>
      </c>
      <c r="L330" s="4" t="n">
        <f aca="false">偿债原表!G7</f>
        <v>1107.58</v>
      </c>
      <c r="M330" s="4" t="n">
        <f aca="false">K330+L330</f>
        <v>2507.58</v>
      </c>
      <c r="N330" s="4" t="n">
        <f aca="false">J330-M330</f>
        <v>-897.4345</v>
      </c>
      <c r="O330" s="4" t="n">
        <f aca="false">O329+N330</f>
        <v>-6701.9545</v>
      </c>
      <c r="P330" s="4" t="n">
        <f aca="false">MAX(0,-(R329+N330))</f>
        <v>897.4345</v>
      </c>
      <c r="Q330" s="4" t="n">
        <f aca="false">Q329+P330</f>
        <v>6701.9545</v>
      </c>
      <c r="R330" s="4" t="n">
        <f aca="false">O330+Q330</f>
        <v>0</v>
      </c>
    </row>
    <row r="331" customFormat="false" ht="15" hidden="false" customHeight="false" outlineLevel="0" collapsed="false">
      <c r="A331" s="2" t="s">
        <v>48</v>
      </c>
      <c r="B331" s="2" t="s">
        <v>40</v>
      </c>
      <c r="C331" s="12" t="n">
        <v>6</v>
      </c>
      <c r="D331" s="12" t="n">
        <v>2029</v>
      </c>
      <c r="E331" s="4" t="n">
        <f aca="false">INDEX(驱动复算!A7:X7,1,情景参数!B10)</f>
        <v>10123.19</v>
      </c>
      <c r="F331" s="4" t="n">
        <f aca="false">E331*(1-情景参数!D10)</f>
        <v>10123.19</v>
      </c>
      <c r="G331" s="4" t="n">
        <f aca="false">IF(情景参数!E10="原表",驱动复算!U7-驱动复算!W7,驱动复算!P7)</f>
        <v>7575.65</v>
      </c>
      <c r="H331" s="4" t="n">
        <f aca="false">IF(情景参数!E10="原表",驱动复算!W7,F331*情景参数!C10)</f>
        <v>202.46</v>
      </c>
      <c r="I331" s="4" t="n">
        <f aca="false">IF(情景参数!E10="原表",驱动复算!U7,G331+H331)</f>
        <v>7778.11</v>
      </c>
      <c r="J331" s="4" t="n">
        <f aca="false">(F331-I331)*(1-情景参数!F10)</f>
        <v>2227.826</v>
      </c>
      <c r="K331" s="4" t="n">
        <f aca="false">偿债原表!F8</f>
        <v>0</v>
      </c>
      <c r="L331" s="4" t="n">
        <f aca="false">偿债原表!G8</f>
        <v>1075.8</v>
      </c>
      <c r="M331" s="4" t="n">
        <f aca="false">K331+L331</f>
        <v>1075.8</v>
      </c>
      <c r="N331" s="4" t="n">
        <f aca="false">J331-M331</f>
        <v>1152.026</v>
      </c>
      <c r="O331" s="4" t="n">
        <f aca="false">O330+N331</f>
        <v>-5549.9285</v>
      </c>
      <c r="P331" s="4" t="n">
        <f aca="false">MAX(0,-(R330+N331))</f>
        <v>0</v>
      </c>
      <c r="Q331" s="4" t="n">
        <f aca="false">Q330+P331</f>
        <v>6701.9545</v>
      </c>
      <c r="R331" s="4" t="n">
        <f aca="false">O331+Q331</f>
        <v>1152.026</v>
      </c>
    </row>
    <row r="332" customFormat="false" ht="15" hidden="false" customHeight="false" outlineLevel="0" collapsed="false">
      <c r="A332" s="2" t="s">
        <v>48</v>
      </c>
      <c r="B332" s="2" t="s">
        <v>40</v>
      </c>
      <c r="C332" s="12" t="n">
        <v>7</v>
      </c>
      <c r="D332" s="12" t="n">
        <v>2030</v>
      </c>
      <c r="E332" s="4" t="n">
        <f aca="false">INDEX(驱动复算!A8:X8,1,情景参数!B10)</f>
        <v>11041.69</v>
      </c>
      <c r="F332" s="4" t="n">
        <f aca="false">E332*(1-情景参数!D10)</f>
        <v>11041.69</v>
      </c>
      <c r="G332" s="4" t="n">
        <f aca="false">IF(情景参数!E10="原表",驱动复算!U8-驱动复算!W8,驱动复算!P8)</f>
        <v>7802.91</v>
      </c>
      <c r="H332" s="4" t="n">
        <f aca="false">IF(情景参数!E10="原表",驱动复算!W8,F332*情景参数!C10)</f>
        <v>220.83</v>
      </c>
      <c r="I332" s="4" t="n">
        <f aca="false">IF(情景参数!E10="原表",驱动复算!U8,G332+H332)</f>
        <v>8023.74</v>
      </c>
      <c r="J332" s="4" t="n">
        <f aca="false">(F332-I332)*(1-情景参数!F10)</f>
        <v>2867.0525</v>
      </c>
      <c r="K332" s="4" t="n">
        <f aca="false">偿债原表!F9</f>
        <v>0</v>
      </c>
      <c r="L332" s="4" t="n">
        <f aca="false">偿债原表!G9</f>
        <v>1075.8</v>
      </c>
      <c r="M332" s="4" t="n">
        <f aca="false">K332+L332</f>
        <v>1075.8</v>
      </c>
      <c r="N332" s="4" t="n">
        <f aca="false">J332-M332</f>
        <v>1791.2525</v>
      </c>
      <c r="O332" s="4" t="n">
        <f aca="false">O331+N332</f>
        <v>-3758.676</v>
      </c>
      <c r="P332" s="4" t="n">
        <f aca="false">MAX(0,-(R331+N332))</f>
        <v>0</v>
      </c>
      <c r="Q332" s="4" t="n">
        <f aca="false">Q331+P332</f>
        <v>6701.9545</v>
      </c>
      <c r="R332" s="4" t="n">
        <f aca="false">O332+Q332</f>
        <v>2943.2785</v>
      </c>
    </row>
    <row r="333" customFormat="false" ht="15" hidden="false" customHeight="false" outlineLevel="0" collapsed="false">
      <c r="A333" s="2" t="s">
        <v>48</v>
      </c>
      <c r="B333" s="2" t="s">
        <v>40</v>
      </c>
      <c r="C333" s="12" t="n">
        <v>8</v>
      </c>
      <c r="D333" s="12" t="n">
        <v>2031</v>
      </c>
      <c r="E333" s="4" t="n">
        <f aca="false">INDEX(驱动复算!A9:X9,1,情景参数!B10)</f>
        <v>12052.04</v>
      </c>
      <c r="F333" s="4" t="n">
        <f aca="false">E333*(1-情景参数!D10)</f>
        <v>12052.04</v>
      </c>
      <c r="G333" s="4" t="n">
        <f aca="false">IF(情景参数!E10="原表",驱动复算!U9-驱动复算!W9,驱动复算!P9)</f>
        <v>8037</v>
      </c>
      <c r="H333" s="4" t="n">
        <f aca="false">IF(情景参数!E10="原表",驱动复算!W9,F333*情景参数!C10)</f>
        <v>241.04</v>
      </c>
      <c r="I333" s="4" t="n">
        <f aca="false">IF(情景参数!E10="原表",驱动复算!U9,G333+H333)</f>
        <v>8278.04</v>
      </c>
      <c r="J333" s="4" t="n">
        <f aca="false">(F333-I333)*(1-情景参数!F10)</f>
        <v>3585.3</v>
      </c>
      <c r="K333" s="4" t="n">
        <f aca="false">偿债原表!F10</f>
        <v>0</v>
      </c>
      <c r="L333" s="4" t="n">
        <f aca="false">偿债原表!G10</f>
        <v>1075.8</v>
      </c>
      <c r="M333" s="4" t="n">
        <f aca="false">K333+L333</f>
        <v>1075.8</v>
      </c>
      <c r="N333" s="4" t="n">
        <f aca="false">J333-M333</f>
        <v>2509.5</v>
      </c>
      <c r="O333" s="4" t="n">
        <f aca="false">O332+N333</f>
        <v>-1249.176</v>
      </c>
      <c r="P333" s="4" t="n">
        <f aca="false">MAX(0,-(R332+N333))</f>
        <v>0</v>
      </c>
      <c r="Q333" s="4" t="n">
        <f aca="false">Q332+P333</f>
        <v>6701.9545</v>
      </c>
      <c r="R333" s="4" t="n">
        <f aca="false">O333+Q333</f>
        <v>5452.7785</v>
      </c>
    </row>
    <row r="334" customFormat="false" ht="15" hidden="false" customHeight="false" outlineLevel="0" collapsed="false">
      <c r="A334" s="2" t="s">
        <v>48</v>
      </c>
      <c r="B334" s="2" t="s">
        <v>40</v>
      </c>
      <c r="C334" s="12" t="n">
        <v>9</v>
      </c>
      <c r="D334" s="12" t="n">
        <v>2032</v>
      </c>
      <c r="E334" s="4" t="n">
        <f aca="false">INDEX(驱动复算!A10:X10,1,情景参数!B10)</f>
        <v>13163.43</v>
      </c>
      <c r="F334" s="4" t="n">
        <f aca="false">E334*(1-情景参数!D10)</f>
        <v>13163.43</v>
      </c>
      <c r="G334" s="4" t="n">
        <f aca="false">IF(情景参数!E10="原表",驱动复算!U10-驱动复算!W10,驱动复算!P10)</f>
        <v>8278.11</v>
      </c>
      <c r="H334" s="4" t="n">
        <f aca="false">IF(情景参数!E10="原表",驱动复算!W10,F334*情景参数!C10)</f>
        <v>263.27</v>
      </c>
      <c r="I334" s="4" t="n">
        <f aca="false">IF(情景参数!E10="原表",驱动复算!U10,G334+H334)</f>
        <v>8541.38</v>
      </c>
      <c r="J334" s="4" t="n">
        <f aca="false">(F334-I334)*(1-情景参数!F10)</f>
        <v>4390.9475</v>
      </c>
      <c r="K334" s="4" t="n">
        <f aca="false">偿债原表!F11</f>
        <v>2000</v>
      </c>
      <c r="L334" s="4" t="n">
        <f aca="false">偿债原表!G11</f>
        <v>1075.8</v>
      </c>
      <c r="M334" s="4" t="n">
        <f aca="false">K334+L334</f>
        <v>3075.8</v>
      </c>
      <c r="N334" s="4" t="n">
        <f aca="false">J334-M334</f>
        <v>1315.1475</v>
      </c>
      <c r="O334" s="4" t="n">
        <f aca="false">O333+N334</f>
        <v>65.9715000000033</v>
      </c>
      <c r="P334" s="4" t="n">
        <f aca="false">MAX(0,-(R333+N334))</f>
        <v>0</v>
      </c>
      <c r="Q334" s="4" t="n">
        <f aca="false">Q333+P334</f>
        <v>6701.9545</v>
      </c>
      <c r="R334" s="4" t="n">
        <f aca="false">O334+Q334</f>
        <v>6767.926</v>
      </c>
    </row>
    <row r="335" customFormat="false" ht="15" hidden="false" customHeight="false" outlineLevel="0" collapsed="false">
      <c r="A335" s="2" t="s">
        <v>48</v>
      </c>
      <c r="B335" s="2" t="s">
        <v>40</v>
      </c>
      <c r="C335" s="12" t="n">
        <v>10</v>
      </c>
      <c r="D335" s="12" t="n">
        <v>2033</v>
      </c>
      <c r="E335" s="4" t="n">
        <f aca="false">INDEX(驱动复算!A11:X11,1,情景参数!B10)</f>
        <v>14139.86</v>
      </c>
      <c r="F335" s="4" t="n">
        <f aca="false">E335*(1-情景参数!D10)</f>
        <v>14139.86</v>
      </c>
      <c r="G335" s="4" t="n">
        <f aca="false">IF(情景参数!E10="原表",驱动复算!U11-驱动复算!W11,驱动复算!P11)</f>
        <v>8526.47</v>
      </c>
      <c r="H335" s="4" t="n">
        <f aca="false">IF(情景参数!E10="原表",驱动复算!W11,F335*情景参数!C10)</f>
        <v>282.8</v>
      </c>
      <c r="I335" s="4" t="n">
        <f aca="false">IF(情景参数!E10="原表",驱动复算!U11,G335+H335)</f>
        <v>8809.27</v>
      </c>
      <c r="J335" s="4" t="n">
        <f aca="false">(F335-I335)*(1-情景参数!F10)</f>
        <v>5064.0605</v>
      </c>
      <c r="K335" s="4" t="n">
        <f aca="false">偿债原表!F12</f>
        <v>9600</v>
      </c>
      <c r="L335" s="4" t="n">
        <f aca="false">偿债原表!G12</f>
        <v>1018.8</v>
      </c>
      <c r="M335" s="4" t="n">
        <f aca="false">K335+L335</f>
        <v>10618.8</v>
      </c>
      <c r="N335" s="4" t="n">
        <f aca="false">J335-M335</f>
        <v>-5554.7395</v>
      </c>
      <c r="O335" s="4" t="n">
        <f aca="false">O334+N335</f>
        <v>-5488.768</v>
      </c>
      <c r="P335" s="4" t="n">
        <f aca="false">MAX(0,-(R334+N335))</f>
        <v>0</v>
      </c>
      <c r="Q335" s="4" t="n">
        <f aca="false">Q334+P335</f>
        <v>6701.9545</v>
      </c>
      <c r="R335" s="4" t="n">
        <f aca="false">O335+Q335</f>
        <v>1213.1865</v>
      </c>
    </row>
    <row r="336" customFormat="false" ht="15" hidden="false" customHeight="false" outlineLevel="0" collapsed="false">
      <c r="A336" s="2" t="s">
        <v>48</v>
      </c>
      <c r="B336" s="2" t="s">
        <v>40</v>
      </c>
      <c r="C336" s="12" t="n">
        <v>11</v>
      </c>
      <c r="D336" s="12" t="n">
        <v>2034</v>
      </c>
      <c r="E336" s="4" t="n">
        <f aca="false">INDEX(驱动复算!A12:X12,1,情景参数!B10)</f>
        <v>14781.69</v>
      </c>
      <c r="F336" s="4" t="n">
        <f aca="false">E336*(1-情景参数!D10)</f>
        <v>14781.69</v>
      </c>
      <c r="G336" s="4" t="n">
        <f aca="false">IF(情景参数!E10="原表",驱动复算!U12-驱动复算!W12,驱动复算!P12)</f>
        <v>8782.26</v>
      </c>
      <c r="H336" s="4" t="n">
        <f aca="false">IF(情景参数!E10="原表",驱动复算!W12,F336*情景参数!C10)</f>
        <v>295.63</v>
      </c>
      <c r="I336" s="4" t="n">
        <f aca="false">IF(情景参数!E10="原表",驱动复算!U12,G336+H336)</f>
        <v>9077.89</v>
      </c>
      <c r="J336" s="4" t="n">
        <f aca="false">(F336-I336)*(1-情景参数!F10)</f>
        <v>5418.61</v>
      </c>
      <c r="K336" s="4" t="n">
        <f aca="false">偿债原表!F13</f>
        <v>0</v>
      </c>
      <c r="L336" s="4" t="n">
        <f aca="false">偿债原表!G13</f>
        <v>673.2</v>
      </c>
      <c r="M336" s="4" t="n">
        <f aca="false">K336+L336</f>
        <v>673.2</v>
      </c>
      <c r="N336" s="4" t="n">
        <f aca="false">J336-M336</f>
        <v>4745.41</v>
      </c>
      <c r="O336" s="4" t="n">
        <f aca="false">O335+N336</f>
        <v>-743.357999999996</v>
      </c>
      <c r="P336" s="4" t="n">
        <f aca="false">MAX(0,-(R335+N336))</f>
        <v>0</v>
      </c>
      <c r="Q336" s="4" t="n">
        <f aca="false">Q335+P336</f>
        <v>6701.9545</v>
      </c>
      <c r="R336" s="4" t="n">
        <f aca="false">O336+Q336</f>
        <v>5958.5965</v>
      </c>
    </row>
    <row r="337" customFormat="false" ht="15" hidden="false" customHeight="false" outlineLevel="0" collapsed="false">
      <c r="A337" s="2" t="s">
        <v>48</v>
      </c>
      <c r="B337" s="2" t="s">
        <v>40</v>
      </c>
      <c r="C337" s="12" t="n">
        <v>12</v>
      </c>
      <c r="D337" s="12" t="n">
        <v>2035</v>
      </c>
      <c r="E337" s="4" t="n">
        <f aca="false">INDEX(驱动复算!A13:X13,1,情景参数!B10)</f>
        <v>15455.6</v>
      </c>
      <c r="F337" s="4" t="n">
        <f aca="false">E337*(1-情景参数!D10)</f>
        <v>15455.6</v>
      </c>
      <c r="G337" s="4" t="n">
        <f aca="false">IF(情景参数!E10="原表",驱动复算!U13-驱动复算!W13,驱动复算!P13)</f>
        <v>9045.74</v>
      </c>
      <c r="H337" s="4" t="n">
        <f aca="false">IF(情景参数!E10="原表",驱动复算!W13,F337*情景参数!C10)</f>
        <v>309.11</v>
      </c>
      <c r="I337" s="4" t="n">
        <f aca="false">IF(情景参数!E10="原表",驱动复算!U13,G337+H337)</f>
        <v>9354.85</v>
      </c>
      <c r="J337" s="4" t="n">
        <f aca="false">(F337-I337)*(1-情景参数!F10)</f>
        <v>5795.7125</v>
      </c>
      <c r="K337" s="4" t="n">
        <f aca="false">偿债原表!F14</f>
        <v>0</v>
      </c>
      <c r="L337" s="4" t="n">
        <f aca="false">偿债原表!G14</f>
        <v>673.2</v>
      </c>
      <c r="M337" s="4" t="n">
        <f aca="false">K337+L337</f>
        <v>673.2</v>
      </c>
      <c r="N337" s="4" t="n">
        <f aca="false">J337-M337</f>
        <v>5122.5125</v>
      </c>
      <c r="O337" s="4" t="n">
        <f aca="false">O336+N337</f>
        <v>4379.1545</v>
      </c>
      <c r="P337" s="4" t="n">
        <f aca="false">MAX(0,-(R336+N337))</f>
        <v>0</v>
      </c>
      <c r="Q337" s="4" t="n">
        <f aca="false">Q336+P337</f>
        <v>6701.9545</v>
      </c>
      <c r="R337" s="4" t="n">
        <f aca="false">O337+Q337</f>
        <v>11081.109</v>
      </c>
    </row>
    <row r="338" customFormat="false" ht="15" hidden="false" customHeight="false" outlineLevel="0" collapsed="false">
      <c r="A338" s="2" t="s">
        <v>48</v>
      </c>
      <c r="B338" s="2" t="s">
        <v>40</v>
      </c>
      <c r="C338" s="12" t="n">
        <v>13</v>
      </c>
      <c r="D338" s="12" t="n">
        <v>2036</v>
      </c>
      <c r="E338" s="4" t="n">
        <f aca="false">INDEX(驱动复算!A14:X14,1,情景参数!B10)</f>
        <v>16163.21</v>
      </c>
      <c r="F338" s="4" t="n">
        <f aca="false">E338*(1-情景参数!D10)</f>
        <v>16163.21</v>
      </c>
      <c r="G338" s="4" t="n">
        <f aca="false">IF(情景参数!E10="原表",驱动复算!U14-驱动复算!W14,驱动复算!P14)</f>
        <v>9317.11</v>
      </c>
      <c r="H338" s="4" t="n">
        <f aca="false">IF(情景参数!E10="原表",驱动复算!W14,F338*情景参数!C10)</f>
        <v>323.26</v>
      </c>
      <c r="I338" s="4" t="n">
        <f aca="false">IF(情景参数!E10="原表",驱动复算!U14,G338+H338)</f>
        <v>9640.37</v>
      </c>
      <c r="J338" s="4" t="n">
        <f aca="false">(F338-I338)*(1-情景参数!F10)</f>
        <v>6196.698</v>
      </c>
      <c r="K338" s="4" t="n">
        <f aca="false">偿债原表!F15</f>
        <v>0</v>
      </c>
      <c r="L338" s="4" t="n">
        <f aca="false">偿债原表!G15</f>
        <v>673.2</v>
      </c>
      <c r="M338" s="4" t="n">
        <f aca="false">K338+L338</f>
        <v>673.2</v>
      </c>
      <c r="N338" s="4" t="n">
        <f aca="false">J338-M338</f>
        <v>5523.498</v>
      </c>
      <c r="O338" s="4" t="n">
        <f aca="false">O337+N338</f>
        <v>9902.6525</v>
      </c>
      <c r="P338" s="4" t="n">
        <f aca="false">MAX(0,-(R337+N338))</f>
        <v>0</v>
      </c>
      <c r="Q338" s="4" t="n">
        <f aca="false">Q337+P338</f>
        <v>6701.9545</v>
      </c>
      <c r="R338" s="4" t="n">
        <f aca="false">O338+Q338</f>
        <v>16604.607</v>
      </c>
    </row>
    <row r="339" customFormat="false" ht="15" hidden="false" customHeight="false" outlineLevel="0" collapsed="false">
      <c r="A339" s="2" t="s">
        <v>48</v>
      </c>
      <c r="B339" s="2" t="s">
        <v>40</v>
      </c>
      <c r="C339" s="12" t="n">
        <v>14</v>
      </c>
      <c r="D339" s="12" t="n">
        <v>2037</v>
      </c>
      <c r="E339" s="4" t="n">
        <f aca="false">INDEX(驱动复算!A15:X15,1,情景参数!B10)</f>
        <v>16906.2</v>
      </c>
      <c r="F339" s="4" t="n">
        <f aca="false">E339*(1-情景参数!D10)</f>
        <v>16906.2</v>
      </c>
      <c r="G339" s="4" t="n">
        <f aca="false">IF(情景参数!E10="原表",驱动复算!U15-驱动复算!W15,驱动复算!P15)</f>
        <v>9596.62</v>
      </c>
      <c r="H339" s="4" t="n">
        <f aca="false">IF(情景参数!E10="原表",驱动复算!W15,F339*情景参数!C10)</f>
        <v>329.21</v>
      </c>
      <c r="I339" s="4" t="n">
        <f aca="false">IF(情景参数!E10="原表",驱动复算!U15,G339+H339)</f>
        <v>9925.83</v>
      </c>
      <c r="J339" s="4" t="n">
        <f aca="false">(F339-I339)*(1-情景参数!F10)</f>
        <v>6631.3515</v>
      </c>
      <c r="K339" s="4" t="n">
        <f aca="false">偿债原表!F16</f>
        <v>1000</v>
      </c>
      <c r="L339" s="4" t="n">
        <f aca="false">偿债原表!G16</f>
        <v>673.2</v>
      </c>
      <c r="M339" s="4" t="n">
        <f aca="false">K339+L339</f>
        <v>1673.2</v>
      </c>
      <c r="N339" s="4" t="n">
        <f aca="false">J339-M339</f>
        <v>4958.1515</v>
      </c>
      <c r="O339" s="4" t="n">
        <f aca="false">O338+N339</f>
        <v>14860.804</v>
      </c>
      <c r="P339" s="4" t="n">
        <f aca="false">MAX(0,-(R338+N339))</f>
        <v>0</v>
      </c>
      <c r="Q339" s="4" t="n">
        <f aca="false">Q338+P339</f>
        <v>6701.9545</v>
      </c>
      <c r="R339" s="4" t="n">
        <f aca="false">O339+Q339</f>
        <v>21562.7585</v>
      </c>
    </row>
    <row r="340" customFormat="false" ht="15" hidden="false" customHeight="false" outlineLevel="0" collapsed="false">
      <c r="A340" s="2" t="s">
        <v>48</v>
      </c>
      <c r="B340" s="2" t="s">
        <v>40</v>
      </c>
      <c r="C340" s="12" t="n">
        <v>15</v>
      </c>
      <c r="D340" s="12" t="n">
        <v>2038</v>
      </c>
      <c r="E340" s="4" t="n">
        <f aca="false">INDEX(驱动复算!A16:X16,1,情景参数!B10)</f>
        <v>17546.68</v>
      </c>
      <c r="F340" s="4" t="n">
        <f aca="false">E340*(1-情景参数!D10)</f>
        <v>17546.68</v>
      </c>
      <c r="G340" s="4" t="n">
        <f aca="false">IF(情景参数!E10="原表",驱动复算!U16-驱动复算!W16,驱动复算!P16)</f>
        <v>9884.51</v>
      </c>
      <c r="H340" s="4" t="n">
        <f aca="false">IF(情景参数!E10="原表",驱动复算!W16,F340*情景参数!C10)</f>
        <v>341.84</v>
      </c>
      <c r="I340" s="4" t="n">
        <f aca="false">IF(情景参数!E10="原表",驱动复算!U16,G340+H340)</f>
        <v>10226.35</v>
      </c>
      <c r="J340" s="4" t="n">
        <f aca="false">(F340-I340)*(1-情景参数!F10)</f>
        <v>6954.3135</v>
      </c>
      <c r="K340" s="4" t="n">
        <f aca="false">偿债原表!F17</f>
        <v>0</v>
      </c>
      <c r="L340" s="4" t="n">
        <f aca="false">偿债原表!G17</f>
        <v>644</v>
      </c>
      <c r="M340" s="4" t="n">
        <f aca="false">K340+L340</f>
        <v>644</v>
      </c>
      <c r="N340" s="4" t="n">
        <f aca="false">J340-M340</f>
        <v>6310.3135</v>
      </c>
      <c r="O340" s="4" t="n">
        <f aca="false">O339+N340</f>
        <v>21171.1175</v>
      </c>
      <c r="P340" s="4" t="n">
        <f aca="false">MAX(0,-(R339+N340))</f>
        <v>0</v>
      </c>
      <c r="Q340" s="4" t="n">
        <f aca="false">Q339+P340</f>
        <v>6701.9545</v>
      </c>
      <c r="R340" s="4" t="n">
        <f aca="false">O340+Q340</f>
        <v>27873.072</v>
      </c>
    </row>
    <row r="341" customFormat="false" ht="15" hidden="false" customHeight="false" outlineLevel="0" collapsed="false">
      <c r="A341" s="2" t="s">
        <v>48</v>
      </c>
      <c r="B341" s="2" t="s">
        <v>40</v>
      </c>
      <c r="C341" s="12" t="n">
        <v>16</v>
      </c>
      <c r="D341" s="12" t="n">
        <v>2039</v>
      </c>
      <c r="E341" s="4" t="n">
        <f aca="false">INDEX(驱动复算!A17:X17,1,情景参数!B10)</f>
        <v>17864.98</v>
      </c>
      <c r="F341" s="4" t="n">
        <f aca="false">E341*(1-情景参数!D10)</f>
        <v>17864.98</v>
      </c>
      <c r="G341" s="4" t="n">
        <f aca="false">IF(情景参数!E10="原表",驱动复算!U17-驱动复算!W17,驱动复算!P17)</f>
        <v>10181.04</v>
      </c>
      <c r="H341" s="4" t="n">
        <f aca="false">IF(情景参数!E10="原表",驱动复算!W17,F341*情景参数!C10)</f>
        <v>348.02</v>
      </c>
      <c r="I341" s="4" t="n">
        <f aca="false">IF(情景参数!E10="原表",驱动复算!U17,G341+H341)</f>
        <v>10529.06</v>
      </c>
      <c r="J341" s="4" t="n">
        <f aca="false">(F341-I341)*(1-情景参数!F10)</f>
        <v>6969.124</v>
      </c>
      <c r="K341" s="4" t="n">
        <f aca="false">偿债原表!F18</f>
        <v>0</v>
      </c>
      <c r="L341" s="4" t="n">
        <f aca="false">偿债原表!G18</f>
        <v>644</v>
      </c>
      <c r="M341" s="4" t="n">
        <f aca="false">K341+L341</f>
        <v>644</v>
      </c>
      <c r="N341" s="4" t="n">
        <f aca="false">J341-M341</f>
        <v>6325.124</v>
      </c>
      <c r="O341" s="4" t="n">
        <f aca="false">O340+N341</f>
        <v>27496.2415</v>
      </c>
      <c r="P341" s="4" t="n">
        <f aca="false">MAX(0,-(R340+N341))</f>
        <v>0</v>
      </c>
      <c r="Q341" s="4" t="n">
        <f aca="false">Q340+P341</f>
        <v>6701.9545</v>
      </c>
      <c r="R341" s="4" t="n">
        <f aca="false">O341+Q341</f>
        <v>34198.196</v>
      </c>
    </row>
    <row r="342" customFormat="false" ht="15" hidden="false" customHeight="false" outlineLevel="0" collapsed="false">
      <c r="A342" s="2" t="s">
        <v>48</v>
      </c>
      <c r="B342" s="2" t="s">
        <v>40</v>
      </c>
      <c r="C342" s="12" t="n">
        <v>17</v>
      </c>
      <c r="D342" s="12" t="n">
        <v>2040</v>
      </c>
      <c r="E342" s="4" t="n">
        <f aca="false">INDEX(驱动复算!A18:X18,1,情景参数!B10)</f>
        <v>18189.64</v>
      </c>
      <c r="F342" s="4" t="n">
        <f aca="false">E342*(1-情景参数!D10)</f>
        <v>18189.64</v>
      </c>
      <c r="G342" s="4" t="n">
        <f aca="false">IF(情景参数!E10="原表",驱动复算!U18-驱动复算!W18,驱动复算!P18)</f>
        <v>10486.47</v>
      </c>
      <c r="H342" s="4" t="n">
        <f aca="false">IF(情景参数!E10="原表",驱动复算!W18,F342*情景参数!C10)</f>
        <v>354.33</v>
      </c>
      <c r="I342" s="4" t="n">
        <f aca="false">IF(情景参数!E10="原表",驱动复算!U18,G342+H342)</f>
        <v>10840.8</v>
      </c>
      <c r="J342" s="4" t="n">
        <f aca="false">(F342-I342)*(1-情景参数!F10)</f>
        <v>6981.398</v>
      </c>
      <c r="K342" s="4" t="n">
        <f aca="false">偿债原表!F19</f>
        <v>0</v>
      </c>
      <c r="L342" s="4" t="n">
        <f aca="false">偿债原表!G19</f>
        <v>644</v>
      </c>
      <c r="M342" s="4" t="n">
        <f aca="false">K342+L342</f>
        <v>644</v>
      </c>
      <c r="N342" s="4" t="n">
        <f aca="false">J342-M342</f>
        <v>6337.398</v>
      </c>
      <c r="O342" s="4" t="n">
        <f aca="false">O341+N342</f>
        <v>33833.6395</v>
      </c>
      <c r="P342" s="4" t="n">
        <f aca="false">MAX(0,-(R341+N342))</f>
        <v>0</v>
      </c>
      <c r="Q342" s="4" t="n">
        <f aca="false">Q341+P342</f>
        <v>6701.9545</v>
      </c>
      <c r="R342" s="4" t="n">
        <f aca="false">O342+Q342</f>
        <v>40535.594</v>
      </c>
    </row>
    <row r="343" customFormat="false" ht="15" hidden="false" customHeight="false" outlineLevel="0" collapsed="false">
      <c r="A343" s="2" t="s">
        <v>48</v>
      </c>
      <c r="B343" s="2" t="s">
        <v>40</v>
      </c>
      <c r="C343" s="12" t="n">
        <v>18</v>
      </c>
      <c r="D343" s="12" t="n">
        <v>2041</v>
      </c>
      <c r="E343" s="4" t="n">
        <f aca="false">INDEX(驱动复算!A19:X19,1,情景参数!B10)</f>
        <v>18520.8</v>
      </c>
      <c r="F343" s="4" t="n">
        <f aca="false">E343*(1-情景参数!D10)</f>
        <v>18520.8</v>
      </c>
      <c r="G343" s="4" t="n">
        <f aca="false">IF(情景参数!E10="原表",驱动复算!U19-驱动复算!W19,驱动复算!P19)</f>
        <v>10801.07</v>
      </c>
      <c r="H343" s="4" t="n">
        <f aca="false">IF(情景参数!E10="原表",驱动复算!W19,F343*情景参数!C10)</f>
        <v>360.77</v>
      </c>
      <c r="I343" s="4" t="n">
        <f aca="false">IF(情景参数!E10="原表",驱动复算!U19,G343+H343)</f>
        <v>11161.84</v>
      </c>
      <c r="J343" s="4" t="n">
        <f aca="false">(F343-I343)*(1-情景参数!F10)</f>
        <v>6991.012</v>
      </c>
      <c r="K343" s="4" t="n">
        <f aca="false">偿债原表!F20</f>
        <v>20000</v>
      </c>
      <c r="L343" s="4" t="n">
        <f aca="false">偿债原表!G20</f>
        <v>644</v>
      </c>
      <c r="M343" s="4" t="n">
        <f aca="false">K343+L343</f>
        <v>20644</v>
      </c>
      <c r="N343" s="4" t="n">
        <f aca="false">J343-M343</f>
        <v>-13652.988</v>
      </c>
      <c r="O343" s="4" t="n">
        <f aca="false">O342+N343</f>
        <v>20180.6515</v>
      </c>
      <c r="P343" s="4" t="n">
        <f aca="false">MAX(0,-(R342+N343))</f>
        <v>0</v>
      </c>
      <c r="Q343" s="4" t="n">
        <f aca="false">Q342+P343</f>
        <v>6701.9545</v>
      </c>
      <c r="R343" s="4" t="n">
        <f aca="false">O343+Q343</f>
        <v>26882.606</v>
      </c>
    </row>
    <row r="344" customFormat="false" ht="15" hidden="false" customHeight="false" outlineLevel="0" collapsed="false">
      <c r="A344" s="2" t="s">
        <v>49</v>
      </c>
      <c r="B344" s="2" t="s">
        <v>39</v>
      </c>
      <c r="C344" s="12" t="n">
        <v>0</v>
      </c>
      <c r="D344" s="13" t="s">
        <v>248</v>
      </c>
      <c r="E344" s="4" t="n">
        <f aca="false">0</f>
        <v>0</v>
      </c>
      <c r="F344" s="4" t="n">
        <f aca="false">E344*(1-情景参数!D11)</f>
        <v>0</v>
      </c>
      <c r="G344" s="4" t="n">
        <f aca="false">0</f>
        <v>0</v>
      </c>
      <c r="H344" s="4" t="n">
        <f aca="false">0</f>
        <v>0</v>
      </c>
      <c r="I344" s="4" t="n">
        <f aca="false">0</f>
        <v>0</v>
      </c>
      <c r="J344" s="4" t="n">
        <f aca="false">(F344-I344)*(1-情景参数!F11)</f>
        <v>0</v>
      </c>
      <c r="K344" s="4" t="n">
        <f aca="false">偿债原表!C2</f>
        <v>0</v>
      </c>
      <c r="L344" s="4" t="n">
        <f aca="false">偿债原表!D2</f>
        <v>1374.2</v>
      </c>
      <c r="M344" s="4" t="n">
        <f aca="false">K344+L344</f>
        <v>1374.2</v>
      </c>
      <c r="N344" s="4" t="n">
        <f aca="false">J344-M344</f>
        <v>-1374.2</v>
      </c>
      <c r="O344" s="4" t="n">
        <f aca="false">N344</f>
        <v>-1374.2</v>
      </c>
      <c r="P344" s="4" t="n">
        <f aca="false">MAX(0,-N344)</f>
        <v>1374.2</v>
      </c>
      <c r="Q344" s="4" t="n">
        <f aca="false">P344</f>
        <v>1374.2</v>
      </c>
      <c r="R344" s="4" t="n">
        <f aca="false">O344+Q344</f>
        <v>0</v>
      </c>
    </row>
    <row r="345" customFormat="false" ht="15" hidden="false" customHeight="false" outlineLevel="0" collapsed="false">
      <c r="A345" s="2" t="s">
        <v>49</v>
      </c>
      <c r="B345" s="2" t="s">
        <v>39</v>
      </c>
      <c r="C345" s="12" t="n">
        <v>1</v>
      </c>
      <c r="D345" s="12" t="n">
        <v>2024</v>
      </c>
      <c r="E345" s="4" t="n">
        <f aca="false">INDEX(驱动复算!A2:X2,1,情景参数!B11)</f>
        <v>0</v>
      </c>
      <c r="F345" s="4" t="n">
        <f aca="false">E345*(1-情景参数!D11)</f>
        <v>0</v>
      </c>
      <c r="G345" s="4" t="n">
        <f aca="false">IF(情景参数!E11="原表",驱动复算!U2-驱动复算!W2,驱动复算!P2)</f>
        <v>0</v>
      </c>
      <c r="H345" s="4" t="n">
        <f aca="false">IF(情景参数!E11="原表",驱动复算!W2,F345*情景参数!C11)</f>
        <v>0</v>
      </c>
      <c r="I345" s="4" t="n">
        <f aca="false">IF(情景参数!E11="原表",驱动复算!U2,G345+H345)</f>
        <v>0</v>
      </c>
      <c r="J345" s="4" t="n">
        <f aca="false">(F345-I345)*(1-情景参数!F11)</f>
        <v>0</v>
      </c>
      <c r="K345" s="4" t="n">
        <f aca="false">偿债原表!C3</f>
        <v>0</v>
      </c>
      <c r="L345" s="4" t="n">
        <f aca="false">偿债原表!D3</f>
        <v>1093.2</v>
      </c>
      <c r="M345" s="4" t="n">
        <f aca="false">K345+L345</f>
        <v>1093.2</v>
      </c>
      <c r="N345" s="4" t="n">
        <f aca="false">J345-M345</f>
        <v>-1093.2</v>
      </c>
      <c r="O345" s="4" t="n">
        <f aca="false">O344+N345</f>
        <v>-2467.4</v>
      </c>
      <c r="P345" s="4" t="n">
        <f aca="false">MAX(0,-(R344+N345))</f>
        <v>1093.2</v>
      </c>
      <c r="Q345" s="4" t="n">
        <f aca="false">Q344+P345</f>
        <v>2467.4</v>
      </c>
      <c r="R345" s="4" t="n">
        <f aca="false">O345+Q345</f>
        <v>0</v>
      </c>
    </row>
    <row r="346" customFormat="false" ht="15" hidden="false" customHeight="false" outlineLevel="0" collapsed="false">
      <c r="A346" s="2" t="s">
        <v>49</v>
      </c>
      <c r="B346" s="2" t="s">
        <v>39</v>
      </c>
      <c r="C346" s="12" t="n">
        <v>2</v>
      </c>
      <c r="D346" s="12" t="n">
        <v>2025</v>
      </c>
      <c r="E346" s="4" t="n">
        <f aca="false">INDEX(驱动复算!A3:X3,1,情景参数!B11)</f>
        <v>0</v>
      </c>
      <c r="F346" s="4" t="n">
        <f aca="false">E346*(1-情景参数!D11)</f>
        <v>0</v>
      </c>
      <c r="G346" s="4" t="n">
        <f aca="false">IF(情景参数!E11="原表",驱动复算!U3-驱动复算!W3,驱动复算!P3)</f>
        <v>0</v>
      </c>
      <c r="H346" s="4" t="n">
        <f aca="false">IF(情景参数!E11="原表",驱动复算!W3,F346*情景参数!C11)</f>
        <v>0</v>
      </c>
      <c r="I346" s="4" t="n">
        <f aca="false">IF(情景参数!E11="原表",驱动复算!U3,G346+H346)</f>
        <v>0</v>
      </c>
      <c r="J346" s="4" t="n">
        <f aca="false">(F346-I346)*(1-情景参数!F11)</f>
        <v>0</v>
      </c>
      <c r="K346" s="4" t="n">
        <f aca="false">偿债原表!C4</f>
        <v>0</v>
      </c>
      <c r="L346" s="4" t="n">
        <f aca="false">偿债原表!D4</f>
        <v>1093.2</v>
      </c>
      <c r="M346" s="4" t="n">
        <f aca="false">K346+L346</f>
        <v>1093.2</v>
      </c>
      <c r="N346" s="4" t="n">
        <f aca="false">J346-M346</f>
        <v>-1093.2</v>
      </c>
      <c r="O346" s="4" t="n">
        <f aca="false">O345+N346</f>
        <v>-3560.6</v>
      </c>
      <c r="P346" s="4" t="n">
        <f aca="false">MAX(0,-(R345+N346))</f>
        <v>1093.2</v>
      </c>
      <c r="Q346" s="4" t="n">
        <f aca="false">Q345+P346</f>
        <v>3560.6</v>
      </c>
      <c r="R346" s="4" t="n">
        <f aca="false">O346+Q346</f>
        <v>0</v>
      </c>
    </row>
    <row r="347" customFormat="false" ht="15" hidden="false" customHeight="false" outlineLevel="0" collapsed="false">
      <c r="A347" s="2" t="s">
        <v>49</v>
      </c>
      <c r="B347" s="2" t="s">
        <v>39</v>
      </c>
      <c r="C347" s="12" t="n">
        <v>3</v>
      </c>
      <c r="D347" s="12" t="n">
        <v>2026</v>
      </c>
      <c r="E347" s="4" t="n">
        <f aca="false">INDEX(驱动复算!A4:X4,1,情景参数!B11)</f>
        <v>0</v>
      </c>
      <c r="F347" s="4" t="n">
        <f aca="false">E347*(1-情景参数!D11)</f>
        <v>0</v>
      </c>
      <c r="G347" s="4" t="n">
        <f aca="false">IF(情景参数!E11="原表",驱动复算!U4-驱动复算!W4,驱动复算!P4)</f>
        <v>0</v>
      </c>
      <c r="H347" s="4" t="n">
        <f aca="false">IF(情景参数!E11="原表",驱动复算!W4,F347*情景参数!C11)</f>
        <v>0</v>
      </c>
      <c r="I347" s="4" t="n">
        <f aca="false">IF(情景参数!E11="原表",驱动复算!U4,G347+H347)</f>
        <v>0</v>
      </c>
      <c r="J347" s="4" t="n">
        <f aca="false">(F347-I347)*(1-情景参数!F11)</f>
        <v>0</v>
      </c>
      <c r="K347" s="4" t="n">
        <f aca="false">偿债原表!C5</f>
        <v>0</v>
      </c>
      <c r="L347" s="4" t="n">
        <f aca="false">偿债原表!D5</f>
        <v>1093.2</v>
      </c>
      <c r="M347" s="4" t="n">
        <f aca="false">K347+L347</f>
        <v>1093.2</v>
      </c>
      <c r="N347" s="4" t="n">
        <f aca="false">J347-M347</f>
        <v>-1093.2</v>
      </c>
      <c r="O347" s="4" t="n">
        <f aca="false">O346+N347</f>
        <v>-4653.8</v>
      </c>
      <c r="P347" s="4" t="n">
        <f aca="false">MAX(0,-(R346+N347))</f>
        <v>1093.2</v>
      </c>
      <c r="Q347" s="4" t="n">
        <f aca="false">Q346+P347</f>
        <v>4653.8</v>
      </c>
      <c r="R347" s="4" t="n">
        <f aca="false">O347+Q347</f>
        <v>0</v>
      </c>
    </row>
    <row r="348" customFormat="false" ht="15" hidden="false" customHeight="false" outlineLevel="0" collapsed="false">
      <c r="A348" s="2" t="s">
        <v>49</v>
      </c>
      <c r="B348" s="2" t="s">
        <v>39</v>
      </c>
      <c r="C348" s="12" t="n">
        <v>4</v>
      </c>
      <c r="D348" s="12" t="n">
        <v>2027</v>
      </c>
      <c r="E348" s="4" t="n">
        <f aca="false">INDEX(驱动复算!A5:X5,1,情景参数!B11)</f>
        <v>0</v>
      </c>
      <c r="F348" s="4" t="n">
        <f aca="false">E348*(1-情景参数!D11)</f>
        <v>0</v>
      </c>
      <c r="G348" s="4" t="n">
        <f aca="false">IF(情景参数!E11="原表",驱动复算!U5-驱动复算!W5,驱动复算!P5)</f>
        <v>0</v>
      </c>
      <c r="H348" s="4" t="n">
        <f aca="false">IF(情景参数!E11="原表",驱动复算!W5,F348*情景参数!C11)</f>
        <v>0</v>
      </c>
      <c r="I348" s="4" t="n">
        <f aca="false">IF(情景参数!E11="原表",驱动复算!U5,G348+H348)</f>
        <v>0</v>
      </c>
      <c r="J348" s="4" t="n">
        <f aca="false">(F348-I348)*(1-情景参数!F11)</f>
        <v>0</v>
      </c>
      <c r="K348" s="4" t="n">
        <f aca="false">偿债原表!C6</f>
        <v>0</v>
      </c>
      <c r="L348" s="4" t="n">
        <f aca="false">偿债原表!D6</f>
        <v>1093.2</v>
      </c>
      <c r="M348" s="4" t="n">
        <f aca="false">K348+L348</f>
        <v>1093.2</v>
      </c>
      <c r="N348" s="4" t="n">
        <f aca="false">J348-M348</f>
        <v>-1093.2</v>
      </c>
      <c r="O348" s="4" t="n">
        <f aca="false">O347+N348</f>
        <v>-5747</v>
      </c>
      <c r="P348" s="4" t="n">
        <f aca="false">MAX(0,-(R347+N348))</f>
        <v>1093.2</v>
      </c>
      <c r="Q348" s="4" t="n">
        <f aca="false">Q347+P348</f>
        <v>5747</v>
      </c>
      <c r="R348" s="4" t="n">
        <f aca="false">O348+Q348</f>
        <v>0</v>
      </c>
    </row>
    <row r="349" customFormat="false" ht="15" hidden="false" customHeight="false" outlineLevel="0" collapsed="false">
      <c r="A349" s="2" t="s">
        <v>49</v>
      </c>
      <c r="B349" s="2" t="s">
        <v>39</v>
      </c>
      <c r="C349" s="12" t="n">
        <v>5</v>
      </c>
      <c r="D349" s="12" t="n">
        <v>2028</v>
      </c>
      <c r="E349" s="4" t="n">
        <f aca="false">INDEX(驱动复算!A6:X6,1,情景参数!B11)</f>
        <v>9234.58</v>
      </c>
      <c r="F349" s="4" t="n">
        <f aca="false">E349*(1-情景参数!D11)</f>
        <v>8772.851</v>
      </c>
      <c r="G349" s="4" t="n">
        <f aca="false">IF(情景参数!E11="原表",驱动复算!U6-驱动复算!W6,驱动复算!P6)</f>
        <v>7355</v>
      </c>
      <c r="H349" s="4" t="n">
        <f aca="false">IF(情景参数!E11="原表",驱动复算!W6,F349*情景参数!C11)</f>
        <v>184.69</v>
      </c>
      <c r="I349" s="4" t="n">
        <f aca="false">IF(情景参数!E11="原表",驱动复算!U6,G349+H349)</f>
        <v>7539.69</v>
      </c>
      <c r="J349" s="4" t="n">
        <f aca="false">(F349-I349)*(1-情景参数!F11)</f>
        <v>1233.161</v>
      </c>
      <c r="K349" s="4" t="n">
        <f aca="false">偿债原表!C7</f>
        <v>11000</v>
      </c>
      <c r="L349" s="4" t="n">
        <f aca="false">偿债原表!D7</f>
        <v>1093.2</v>
      </c>
      <c r="M349" s="4" t="n">
        <f aca="false">K349+L349</f>
        <v>12093.2</v>
      </c>
      <c r="N349" s="4" t="n">
        <f aca="false">J349-M349</f>
        <v>-10860.039</v>
      </c>
      <c r="O349" s="4" t="n">
        <f aca="false">O348+N349</f>
        <v>-16607.039</v>
      </c>
      <c r="P349" s="4" t="n">
        <f aca="false">MAX(0,-(R348+N349))</f>
        <v>10860.039</v>
      </c>
      <c r="Q349" s="4" t="n">
        <f aca="false">Q348+P349</f>
        <v>16607.039</v>
      </c>
      <c r="R349" s="4" t="n">
        <f aca="false">O349+Q349</f>
        <v>0</v>
      </c>
    </row>
    <row r="350" customFormat="false" ht="15" hidden="false" customHeight="false" outlineLevel="0" collapsed="false">
      <c r="A350" s="2" t="s">
        <v>49</v>
      </c>
      <c r="B350" s="2" t="s">
        <v>39</v>
      </c>
      <c r="C350" s="12" t="n">
        <v>6</v>
      </c>
      <c r="D350" s="12" t="n">
        <v>2029</v>
      </c>
      <c r="E350" s="4" t="n">
        <f aca="false">INDEX(驱动复算!A7:X7,1,情景参数!B11)</f>
        <v>10123.19</v>
      </c>
      <c r="F350" s="4" t="n">
        <f aca="false">E350*(1-情景参数!D11)</f>
        <v>9617.0305</v>
      </c>
      <c r="G350" s="4" t="n">
        <f aca="false">IF(情景参数!E11="原表",驱动复算!U7-驱动复算!W7,驱动复算!P7)</f>
        <v>7575.65</v>
      </c>
      <c r="H350" s="4" t="n">
        <f aca="false">IF(情景参数!E11="原表",驱动复算!W7,F350*情景参数!C11)</f>
        <v>202.46</v>
      </c>
      <c r="I350" s="4" t="n">
        <f aca="false">IF(情景参数!E11="原表",驱动复算!U7,G350+H350)</f>
        <v>7778.11</v>
      </c>
      <c r="J350" s="4" t="n">
        <f aca="false">(F350-I350)*(1-情景参数!F11)</f>
        <v>1838.9205</v>
      </c>
      <c r="K350" s="4" t="n">
        <f aca="false">偿债原表!C8</f>
        <v>0</v>
      </c>
      <c r="L350" s="4" t="n">
        <f aca="false">偿债原表!D8</f>
        <v>730.2</v>
      </c>
      <c r="M350" s="4" t="n">
        <f aca="false">K350+L350</f>
        <v>730.2</v>
      </c>
      <c r="N350" s="4" t="n">
        <f aca="false">J350-M350</f>
        <v>1108.7205</v>
      </c>
      <c r="O350" s="4" t="n">
        <f aca="false">O349+N350</f>
        <v>-15498.3185</v>
      </c>
      <c r="P350" s="4" t="n">
        <f aca="false">MAX(0,-(R349+N350))</f>
        <v>0</v>
      </c>
      <c r="Q350" s="4" t="n">
        <f aca="false">Q349+P350</f>
        <v>16607.039</v>
      </c>
      <c r="R350" s="4" t="n">
        <f aca="false">O350+Q350</f>
        <v>1108.7205</v>
      </c>
    </row>
    <row r="351" customFormat="false" ht="15" hidden="false" customHeight="false" outlineLevel="0" collapsed="false">
      <c r="A351" s="2" t="s">
        <v>49</v>
      </c>
      <c r="B351" s="2" t="s">
        <v>39</v>
      </c>
      <c r="C351" s="12" t="n">
        <v>7</v>
      </c>
      <c r="D351" s="12" t="n">
        <v>2030</v>
      </c>
      <c r="E351" s="4" t="n">
        <f aca="false">INDEX(驱动复算!A8:X8,1,情景参数!B11)</f>
        <v>11041.69</v>
      </c>
      <c r="F351" s="4" t="n">
        <f aca="false">E351*(1-情景参数!D11)</f>
        <v>10489.6055</v>
      </c>
      <c r="G351" s="4" t="n">
        <f aca="false">IF(情景参数!E11="原表",驱动复算!U8-驱动复算!W8,驱动复算!P8)</f>
        <v>7802.91</v>
      </c>
      <c r="H351" s="4" t="n">
        <f aca="false">IF(情景参数!E11="原表",驱动复算!W8,F351*情景参数!C11)</f>
        <v>220.83</v>
      </c>
      <c r="I351" s="4" t="n">
        <f aca="false">IF(情景参数!E11="原表",驱动复算!U8,G351+H351)</f>
        <v>8023.74</v>
      </c>
      <c r="J351" s="4" t="n">
        <f aca="false">(F351-I351)*(1-情景参数!F11)</f>
        <v>2465.8655</v>
      </c>
      <c r="K351" s="4" t="n">
        <f aca="false">偿债原表!C9</f>
        <v>0</v>
      </c>
      <c r="L351" s="4" t="n">
        <f aca="false">偿债原表!D9</f>
        <v>730.2</v>
      </c>
      <c r="M351" s="4" t="n">
        <f aca="false">K351+L351</f>
        <v>730.2</v>
      </c>
      <c r="N351" s="4" t="n">
        <f aca="false">J351-M351</f>
        <v>1735.6655</v>
      </c>
      <c r="O351" s="4" t="n">
        <f aca="false">O350+N351</f>
        <v>-13762.653</v>
      </c>
      <c r="P351" s="4" t="n">
        <f aca="false">MAX(0,-(R350+N351))</f>
        <v>0</v>
      </c>
      <c r="Q351" s="4" t="n">
        <f aca="false">Q350+P351</f>
        <v>16607.039</v>
      </c>
      <c r="R351" s="4" t="n">
        <f aca="false">O351+Q351</f>
        <v>2844.386</v>
      </c>
    </row>
    <row r="352" customFormat="false" ht="15" hidden="false" customHeight="false" outlineLevel="0" collapsed="false">
      <c r="A352" s="2" t="s">
        <v>49</v>
      </c>
      <c r="B352" s="2" t="s">
        <v>39</v>
      </c>
      <c r="C352" s="12" t="n">
        <v>8</v>
      </c>
      <c r="D352" s="12" t="n">
        <v>2031</v>
      </c>
      <c r="E352" s="4" t="n">
        <f aca="false">INDEX(驱动复算!A9:X9,1,情景参数!B11)</f>
        <v>12052.04</v>
      </c>
      <c r="F352" s="4" t="n">
        <f aca="false">E352*(1-情景参数!D11)</f>
        <v>11449.438</v>
      </c>
      <c r="G352" s="4" t="n">
        <f aca="false">IF(情景参数!E11="原表",驱动复算!U9-驱动复算!W9,驱动复算!P9)</f>
        <v>8037</v>
      </c>
      <c r="H352" s="4" t="n">
        <f aca="false">IF(情景参数!E11="原表",驱动复算!W9,F352*情景参数!C11)</f>
        <v>241.04</v>
      </c>
      <c r="I352" s="4" t="n">
        <f aca="false">IF(情景参数!E11="原表",驱动复算!U9,G352+H352)</f>
        <v>8278.04</v>
      </c>
      <c r="J352" s="4" t="n">
        <f aca="false">(F352-I352)*(1-情景参数!F11)</f>
        <v>3171.398</v>
      </c>
      <c r="K352" s="4" t="n">
        <f aca="false">偿债原表!C10</f>
        <v>0</v>
      </c>
      <c r="L352" s="4" t="n">
        <f aca="false">偿债原表!D10</f>
        <v>730.2</v>
      </c>
      <c r="M352" s="4" t="n">
        <f aca="false">K352+L352</f>
        <v>730.2</v>
      </c>
      <c r="N352" s="4" t="n">
        <f aca="false">J352-M352</f>
        <v>2441.198</v>
      </c>
      <c r="O352" s="4" t="n">
        <f aca="false">O351+N352</f>
        <v>-11321.455</v>
      </c>
      <c r="P352" s="4" t="n">
        <f aca="false">MAX(0,-(R351+N352))</f>
        <v>0</v>
      </c>
      <c r="Q352" s="4" t="n">
        <f aca="false">Q351+P352</f>
        <v>16607.039</v>
      </c>
      <c r="R352" s="4" t="n">
        <f aca="false">O352+Q352</f>
        <v>5285.584</v>
      </c>
    </row>
    <row r="353" customFormat="false" ht="15" hidden="false" customHeight="false" outlineLevel="0" collapsed="false">
      <c r="A353" s="2" t="s">
        <v>49</v>
      </c>
      <c r="B353" s="2" t="s">
        <v>39</v>
      </c>
      <c r="C353" s="12" t="n">
        <v>9</v>
      </c>
      <c r="D353" s="12" t="n">
        <v>2032</v>
      </c>
      <c r="E353" s="4" t="n">
        <f aca="false">INDEX(驱动复算!A10:X10,1,情景参数!B11)</f>
        <v>13163.43</v>
      </c>
      <c r="F353" s="4" t="n">
        <f aca="false">E353*(1-情景参数!D11)</f>
        <v>12505.2585</v>
      </c>
      <c r="G353" s="4" t="n">
        <f aca="false">IF(情景参数!E11="原表",驱动复算!U10-驱动复算!W10,驱动复算!P10)</f>
        <v>8278.11</v>
      </c>
      <c r="H353" s="4" t="n">
        <f aca="false">IF(情景参数!E11="原表",驱动复算!W10,F353*情景参数!C11)</f>
        <v>263.27</v>
      </c>
      <c r="I353" s="4" t="n">
        <f aca="false">IF(情景参数!E11="原表",驱动复算!U10,G353+H353)</f>
        <v>8541.38</v>
      </c>
      <c r="J353" s="4" t="n">
        <f aca="false">(F353-I353)*(1-情景参数!F11)</f>
        <v>3963.8785</v>
      </c>
      <c r="K353" s="4" t="n">
        <f aca="false">偿债原表!C11</f>
        <v>2000</v>
      </c>
      <c r="L353" s="4" t="n">
        <f aca="false">偿债原表!D11</f>
        <v>730.2</v>
      </c>
      <c r="M353" s="4" t="n">
        <f aca="false">K353+L353</f>
        <v>2730.2</v>
      </c>
      <c r="N353" s="4" t="n">
        <f aca="false">J353-M353</f>
        <v>1233.6785</v>
      </c>
      <c r="O353" s="4" t="n">
        <f aca="false">O352+N353</f>
        <v>-10087.7765</v>
      </c>
      <c r="P353" s="4" t="n">
        <f aca="false">MAX(0,-(R352+N353))</f>
        <v>0</v>
      </c>
      <c r="Q353" s="4" t="n">
        <f aca="false">Q352+P353</f>
        <v>16607.039</v>
      </c>
      <c r="R353" s="4" t="n">
        <f aca="false">O353+Q353</f>
        <v>6519.2625</v>
      </c>
    </row>
    <row r="354" customFormat="false" ht="15" hidden="false" customHeight="false" outlineLevel="0" collapsed="false">
      <c r="A354" s="2" t="s">
        <v>49</v>
      </c>
      <c r="B354" s="2" t="s">
        <v>39</v>
      </c>
      <c r="C354" s="12" t="n">
        <v>10</v>
      </c>
      <c r="D354" s="12" t="n">
        <v>2033</v>
      </c>
      <c r="E354" s="4" t="n">
        <f aca="false">INDEX(驱动复算!A11:X11,1,情景参数!B11)</f>
        <v>14139.86</v>
      </c>
      <c r="F354" s="4" t="n">
        <f aca="false">E354*(1-情景参数!D11)</f>
        <v>13432.867</v>
      </c>
      <c r="G354" s="4" t="n">
        <f aca="false">IF(情景参数!E11="原表",驱动复算!U11-驱动复算!W11,驱动复算!P11)</f>
        <v>8526.47</v>
      </c>
      <c r="H354" s="4" t="n">
        <f aca="false">IF(情景参数!E11="原表",驱动复算!W11,F354*情景参数!C11)</f>
        <v>282.8</v>
      </c>
      <c r="I354" s="4" t="n">
        <f aca="false">IF(情景参数!E11="原表",驱动复算!U11,G354+H354)</f>
        <v>8809.27</v>
      </c>
      <c r="J354" s="4" t="n">
        <f aca="false">(F354-I354)*(1-情景参数!F11)</f>
        <v>4623.597</v>
      </c>
      <c r="K354" s="4" t="n">
        <f aca="false">偿债原表!C12</f>
        <v>0</v>
      </c>
      <c r="L354" s="4" t="n">
        <f aca="false">偿债原表!D12</f>
        <v>673.2</v>
      </c>
      <c r="M354" s="4" t="n">
        <f aca="false">K354+L354</f>
        <v>673.2</v>
      </c>
      <c r="N354" s="4" t="n">
        <f aca="false">J354-M354</f>
        <v>3950.397</v>
      </c>
      <c r="O354" s="4" t="n">
        <f aca="false">O353+N354</f>
        <v>-6137.3795</v>
      </c>
      <c r="P354" s="4" t="n">
        <f aca="false">MAX(0,-(R353+N354))</f>
        <v>0</v>
      </c>
      <c r="Q354" s="4" t="n">
        <f aca="false">Q353+P354</f>
        <v>16607.039</v>
      </c>
      <c r="R354" s="4" t="n">
        <f aca="false">O354+Q354</f>
        <v>10469.6595</v>
      </c>
    </row>
    <row r="355" customFormat="false" ht="15" hidden="false" customHeight="false" outlineLevel="0" collapsed="false">
      <c r="A355" s="2" t="s">
        <v>49</v>
      </c>
      <c r="B355" s="2" t="s">
        <v>39</v>
      </c>
      <c r="C355" s="12" t="n">
        <v>11</v>
      </c>
      <c r="D355" s="12" t="n">
        <v>2034</v>
      </c>
      <c r="E355" s="4" t="n">
        <f aca="false">INDEX(驱动复算!A12:X12,1,情景参数!B11)</f>
        <v>14781.69</v>
      </c>
      <c r="F355" s="4" t="n">
        <f aca="false">E355*(1-情景参数!D11)</f>
        <v>14042.6055</v>
      </c>
      <c r="G355" s="4" t="n">
        <f aca="false">IF(情景参数!E11="原表",驱动复算!U12-驱动复算!W12,驱动复算!P12)</f>
        <v>8782.26</v>
      </c>
      <c r="H355" s="4" t="n">
        <f aca="false">IF(情景参数!E11="原表",驱动复算!W12,F355*情景参数!C11)</f>
        <v>295.63</v>
      </c>
      <c r="I355" s="4" t="n">
        <f aca="false">IF(情景参数!E11="原表",驱动复算!U12,G355+H355)</f>
        <v>9077.89</v>
      </c>
      <c r="J355" s="4" t="n">
        <f aca="false">(F355-I355)*(1-情景参数!F11)</f>
        <v>4964.7155</v>
      </c>
      <c r="K355" s="4" t="n">
        <f aca="false">偿债原表!C13</f>
        <v>0</v>
      </c>
      <c r="L355" s="4" t="n">
        <f aca="false">偿债原表!D13</f>
        <v>673.2</v>
      </c>
      <c r="M355" s="4" t="n">
        <f aca="false">K355+L355</f>
        <v>673.2</v>
      </c>
      <c r="N355" s="4" t="n">
        <f aca="false">J355-M355</f>
        <v>4291.5155</v>
      </c>
      <c r="O355" s="4" t="n">
        <f aca="false">O354+N355</f>
        <v>-1845.864</v>
      </c>
      <c r="P355" s="4" t="n">
        <f aca="false">MAX(0,-(R354+N355))</f>
        <v>0</v>
      </c>
      <c r="Q355" s="4" t="n">
        <f aca="false">Q354+P355</f>
        <v>16607.039</v>
      </c>
      <c r="R355" s="4" t="n">
        <f aca="false">O355+Q355</f>
        <v>14761.175</v>
      </c>
    </row>
    <row r="356" customFormat="false" ht="15" hidden="false" customHeight="false" outlineLevel="0" collapsed="false">
      <c r="A356" s="2" t="s">
        <v>49</v>
      </c>
      <c r="B356" s="2" t="s">
        <v>39</v>
      </c>
      <c r="C356" s="12" t="n">
        <v>12</v>
      </c>
      <c r="D356" s="12" t="n">
        <v>2035</v>
      </c>
      <c r="E356" s="4" t="n">
        <f aca="false">INDEX(驱动复算!A13:X13,1,情景参数!B11)</f>
        <v>15455.6</v>
      </c>
      <c r="F356" s="4" t="n">
        <f aca="false">E356*(1-情景参数!D11)</f>
        <v>14682.82</v>
      </c>
      <c r="G356" s="4" t="n">
        <f aca="false">IF(情景参数!E11="原表",驱动复算!U13-驱动复算!W13,驱动复算!P13)</f>
        <v>9045.74</v>
      </c>
      <c r="H356" s="4" t="n">
        <f aca="false">IF(情景参数!E11="原表",驱动复算!W13,F356*情景参数!C11)</f>
        <v>309.11</v>
      </c>
      <c r="I356" s="4" t="n">
        <f aca="false">IF(情景参数!E11="原表",驱动复算!U13,G356+H356)</f>
        <v>9354.85</v>
      </c>
      <c r="J356" s="4" t="n">
        <f aca="false">(F356-I356)*(1-情景参数!F11)</f>
        <v>5327.97</v>
      </c>
      <c r="K356" s="4" t="n">
        <f aca="false">偿债原表!C14</f>
        <v>0</v>
      </c>
      <c r="L356" s="4" t="n">
        <f aca="false">偿债原表!D14</f>
        <v>673.2</v>
      </c>
      <c r="M356" s="4" t="n">
        <f aca="false">K356+L356</f>
        <v>673.2</v>
      </c>
      <c r="N356" s="4" t="n">
        <f aca="false">J356-M356</f>
        <v>4654.77</v>
      </c>
      <c r="O356" s="4" t="n">
        <f aca="false">O355+N356</f>
        <v>2808.906</v>
      </c>
      <c r="P356" s="4" t="n">
        <f aca="false">MAX(0,-(R355+N356))</f>
        <v>0</v>
      </c>
      <c r="Q356" s="4" t="n">
        <f aca="false">Q355+P356</f>
        <v>16607.039</v>
      </c>
      <c r="R356" s="4" t="n">
        <f aca="false">O356+Q356</f>
        <v>19415.945</v>
      </c>
    </row>
    <row r="357" customFormat="false" ht="15" hidden="false" customHeight="false" outlineLevel="0" collapsed="false">
      <c r="A357" s="2" t="s">
        <v>49</v>
      </c>
      <c r="B357" s="2" t="s">
        <v>39</v>
      </c>
      <c r="C357" s="12" t="n">
        <v>13</v>
      </c>
      <c r="D357" s="12" t="n">
        <v>2036</v>
      </c>
      <c r="E357" s="4" t="n">
        <f aca="false">INDEX(驱动复算!A14:X14,1,情景参数!B11)</f>
        <v>16163.21</v>
      </c>
      <c r="F357" s="4" t="n">
        <f aca="false">E357*(1-情景参数!D11)</f>
        <v>15355.0495</v>
      </c>
      <c r="G357" s="4" t="n">
        <f aca="false">IF(情景参数!E11="原表",驱动复算!U14-驱动复算!W14,驱动复算!P14)</f>
        <v>9317.11</v>
      </c>
      <c r="H357" s="4" t="n">
        <f aca="false">IF(情景参数!E11="原表",驱动复算!W14,F357*情景参数!C11)</f>
        <v>323.26</v>
      </c>
      <c r="I357" s="4" t="n">
        <f aca="false">IF(情景参数!E11="原表",驱动复算!U14,G357+H357)</f>
        <v>9640.37</v>
      </c>
      <c r="J357" s="4" t="n">
        <f aca="false">(F357-I357)*(1-情景参数!F11)</f>
        <v>5714.6795</v>
      </c>
      <c r="K357" s="4" t="n">
        <f aca="false">偿债原表!C15</f>
        <v>0</v>
      </c>
      <c r="L357" s="4" t="n">
        <f aca="false">偿债原表!D15</f>
        <v>673.2</v>
      </c>
      <c r="M357" s="4" t="n">
        <f aca="false">K357+L357</f>
        <v>673.2</v>
      </c>
      <c r="N357" s="4" t="n">
        <f aca="false">J357-M357</f>
        <v>5041.4795</v>
      </c>
      <c r="O357" s="4" t="n">
        <f aca="false">O356+N357</f>
        <v>7850.3855</v>
      </c>
      <c r="P357" s="4" t="n">
        <f aca="false">MAX(0,-(R356+N357))</f>
        <v>0</v>
      </c>
      <c r="Q357" s="4" t="n">
        <f aca="false">Q356+P357</f>
        <v>16607.039</v>
      </c>
      <c r="R357" s="4" t="n">
        <f aca="false">O357+Q357</f>
        <v>24457.4245</v>
      </c>
    </row>
    <row r="358" customFormat="false" ht="15" hidden="false" customHeight="false" outlineLevel="0" collapsed="false">
      <c r="A358" s="2" t="s">
        <v>49</v>
      </c>
      <c r="B358" s="2" t="s">
        <v>39</v>
      </c>
      <c r="C358" s="12" t="n">
        <v>14</v>
      </c>
      <c r="D358" s="12" t="n">
        <v>2037</v>
      </c>
      <c r="E358" s="4" t="n">
        <f aca="false">INDEX(驱动复算!A15:X15,1,情景参数!B11)</f>
        <v>16906.2</v>
      </c>
      <c r="F358" s="4" t="n">
        <f aca="false">E358*(1-情景参数!D11)</f>
        <v>16060.89</v>
      </c>
      <c r="G358" s="4" t="n">
        <f aca="false">IF(情景参数!E11="原表",驱动复算!U15-驱动复算!W15,驱动复算!P15)</f>
        <v>9596.62</v>
      </c>
      <c r="H358" s="4" t="n">
        <f aca="false">IF(情景参数!E11="原表",驱动复算!W15,F358*情景参数!C11)</f>
        <v>329.21</v>
      </c>
      <c r="I358" s="4" t="n">
        <f aca="false">IF(情景参数!E11="原表",驱动复算!U15,G358+H358)</f>
        <v>9925.83</v>
      </c>
      <c r="J358" s="4" t="n">
        <f aca="false">(F358-I358)*(1-情景参数!F11)</f>
        <v>6135.06</v>
      </c>
      <c r="K358" s="4" t="n">
        <f aca="false">偿债原表!C16</f>
        <v>1000</v>
      </c>
      <c r="L358" s="4" t="n">
        <f aca="false">偿债原表!D16</f>
        <v>673.2</v>
      </c>
      <c r="M358" s="4" t="n">
        <f aca="false">K358+L358</f>
        <v>1673.2</v>
      </c>
      <c r="N358" s="4" t="n">
        <f aca="false">J358-M358</f>
        <v>4461.86</v>
      </c>
      <c r="O358" s="4" t="n">
        <f aca="false">O357+N358</f>
        <v>12312.2455</v>
      </c>
      <c r="P358" s="4" t="n">
        <f aca="false">MAX(0,-(R357+N358))</f>
        <v>0</v>
      </c>
      <c r="Q358" s="4" t="n">
        <f aca="false">Q357+P358</f>
        <v>16607.039</v>
      </c>
      <c r="R358" s="4" t="n">
        <f aca="false">O358+Q358</f>
        <v>28919.2845</v>
      </c>
    </row>
    <row r="359" customFormat="false" ht="15" hidden="false" customHeight="false" outlineLevel="0" collapsed="false">
      <c r="A359" s="2" t="s">
        <v>49</v>
      </c>
      <c r="B359" s="2" t="s">
        <v>39</v>
      </c>
      <c r="C359" s="12" t="n">
        <v>15</v>
      </c>
      <c r="D359" s="12" t="n">
        <v>2038</v>
      </c>
      <c r="E359" s="4" t="n">
        <f aca="false">INDEX(驱动复算!A16:X16,1,情景参数!B11)</f>
        <v>17546.68</v>
      </c>
      <c r="F359" s="4" t="n">
        <f aca="false">E359*(1-情景参数!D11)</f>
        <v>16669.346</v>
      </c>
      <c r="G359" s="4" t="n">
        <f aca="false">IF(情景参数!E11="原表",驱动复算!U16-驱动复算!W16,驱动复算!P16)</f>
        <v>9884.51</v>
      </c>
      <c r="H359" s="4" t="n">
        <f aca="false">IF(情景参数!E11="原表",驱动复算!W16,F359*情景参数!C11)</f>
        <v>341.84</v>
      </c>
      <c r="I359" s="4" t="n">
        <f aca="false">IF(情景参数!E11="原表",驱动复算!U16,G359+H359)</f>
        <v>10226.35</v>
      </c>
      <c r="J359" s="4" t="n">
        <f aca="false">(F359-I359)*(1-情景参数!F11)</f>
        <v>6442.996</v>
      </c>
      <c r="K359" s="4" t="n">
        <f aca="false">偿债原表!C17</f>
        <v>0</v>
      </c>
      <c r="L359" s="4" t="n">
        <f aca="false">偿债原表!D17</f>
        <v>644</v>
      </c>
      <c r="M359" s="4" t="n">
        <f aca="false">K359+L359</f>
        <v>644</v>
      </c>
      <c r="N359" s="4" t="n">
        <f aca="false">J359-M359</f>
        <v>5798.996</v>
      </c>
      <c r="O359" s="4" t="n">
        <f aca="false">O358+N359</f>
        <v>18111.2415</v>
      </c>
      <c r="P359" s="4" t="n">
        <f aca="false">MAX(0,-(R358+N359))</f>
        <v>0</v>
      </c>
      <c r="Q359" s="4" t="n">
        <f aca="false">Q358+P359</f>
        <v>16607.039</v>
      </c>
      <c r="R359" s="4" t="n">
        <f aca="false">O359+Q359</f>
        <v>34718.2805</v>
      </c>
    </row>
    <row r="360" customFormat="false" ht="15" hidden="false" customHeight="false" outlineLevel="0" collapsed="false">
      <c r="A360" s="2" t="s">
        <v>49</v>
      </c>
      <c r="B360" s="2" t="s">
        <v>39</v>
      </c>
      <c r="C360" s="12" t="n">
        <v>16</v>
      </c>
      <c r="D360" s="12" t="n">
        <v>2039</v>
      </c>
      <c r="E360" s="4" t="n">
        <f aca="false">INDEX(驱动复算!A17:X17,1,情景参数!B11)</f>
        <v>17864.98</v>
      </c>
      <c r="F360" s="4" t="n">
        <f aca="false">E360*(1-情景参数!D11)</f>
        <v>16971.731</v>
      </c>
      <c r="G360" s="4" t="n">
        <f aca="false">IF(情景参数!E11="原表",驱动复算!U17-驱动复算!W17,驱动复算!P17)</f>
        <v>10181.04</v>
      </c>
      <c r="H360" s="4" t="n">
        <f aca="false">IF(情景参数!E11="原表",驱动复算!W17,F360*情景参数!C11)</f>
        <v>348.02</v>
      </c>
      <c r="I360" s="4" t="n">
        <f aca="false">IF(情景参数!E11="原表",驱动复算!U17,G360+H360)</f>
        <v>10529.06</v>
      </c>
      <c r="J360" s="4" t="n">
        <f aca="false">(F360-I360)*(1-情景参数!F11)</f>
        <v>6442.671</v>
      </c>
      <c r="K360" s="4" t="n">
        <f aca="false">偿债原表!C18</f>
        <v>0</v>
      </c>
      <c r="L360" s="4" t="n">
        <f aca="false">偿债原表!D18</f>
        <v>644</v>
      </c>
      <c r="M360" s="4" t="n">
        <f aca="false">K360+L360</f>
        <v>644</v>
      </c>
      <c r="N360" s="4" t="n">
        <f aca="false">J360-M360</f>
        <v>5798.671</v>
      </c>
      <c r="O360" s="4" t="n">
        <f aca="false">O359+N360</f>
        <v>23909.9125</v>
      </c>
      <c r="P360" s="4" t="n">
        <f aca="false">MAX(0,-(R359+N360))</f>
        <v>0</v>
      </c>
      <c r="Q360" s="4" t="n">
        <f aca="false">Q359+P360</f>
        <v>16607.039</v>
      </c>
      <c r="R360" s="4" t="n">
        <f aca="false">O360+Q360</f>
        <v>40516.9515</v>
      </c>
    </row>
    <row r="361" customFormat="false" ht="15" hidden="false" customHeight="false" outlineLevel="0" collapsed="false">
      <c r="A361" s="2" t="s">
        <v>49</v>
      </c>
      <c r="B361" s="2" t="s">
        <v>39</v>
      </c>
      <c r="C361" s="12" t="n">
        <v>17</v>
      </c>
      <c r="D361" s="12" t="n">
        <v>2040</v>
      </c>
      <c r="E361" s="4" t="n">
        <f aca="false">INDEX(驱动复算!A18:X18,1,情景参数!B11)</f>
        <v>18189.64</v>
      </c>
      <c r="F361" s="4" t="n">
        <f aca="false">E361*(1-情景参数!D11)</f>
        <v>17280.158</v>
      </c>
      <c r="G361" s="4" t="n">
        <f aca="false">IF(情景参数!E11="原表",驱动复算!U18-驱动复算!W18,驱动复算!P18)</f>
        <v>10486.47</v>
      </c>
      <c r="H361" s="4" t="n">
        <f aca="false">IF(情景参数!E11="原表",驱动复算!W18,F361*情景参数!C11)</f>
        <v>354.33</v>
      </c>
      <c r="I361" s="4" t="n">
        <f aca="false">IF(情景参数!E11="原表",驱动复算!U18,G361+H361)</f>
        <v>10840.8</v>
      </c>
      <c r="J361" s="4" t="n">
        <f aca="false">(F361-I361)*(1-情景参数!F11)</f>
        <v>6439.358</v>
      </c>
      <c r="K361" s="4" t="n">
        <f aca="false">偿债原表!C19</f>
        <v>0</v>
      </c>
      <c r="L361" s="4" t="n">
        <f aca="false">偿债原表!D19</f>
        <v>644</v>
      </c>
      <c r="M361" s="4" t="n">
        <f aca="false">K361+L361</f>
        <v>644</v>
      </c>
      <c r="N361" s="4" t="n">
        <f aca="false">J361-M361</f>
        <v>5795.358</v>
      </c>
      <c r="O361" s="4" t="n">
        <f aca="false">O360+N361</f>
        <v>29705.2705</v>
      </c>
      <c r="P361" s="4" t="n">
        <f aca="false">MAX(0,-(R360+N361))</f>
        <v>0</v>
      </c>
      <c r="Q361" s="4" t="n">
        <f aca="false">Q360+P361</f>
        <v>16607.039</v>
      </c>
      <c r="R361" s="4" t="n">
        <f aca="false">O361+Q361</f>
        <v>46312.3095</v>
      </c>
    </row>
    <row r="362" customFormat="false" ht="15" hidden="false" customHeight="false" outlineLevel="0" collapsed="false">
      <c r="A362" s="2" t="s">
        <v>49</v>
      </c>
      <c r="B362" s="2" t="s">
        <v>39</v>
      </c>
      <c r="C362" s="12" t="n">
        <v>18</v>
      </c>
      <c r="D362" s="12" t="n">
        <v>2041</v>
      </c>
      <c r="E362" s="4" t="n">
        <f aca="false">INDEX(驱动复算!A19:X19,1,情景参数!B11)</f>
        <v>18520.8</v>
      </c>
      <c r="F362" s="4" t="n">
        <f aca="false">E362*(1-情景参数!D11)</f>
        <v>17594.76</v>
      </c>
      <c r="G362" s="4" t="n">
        <f aca="false">IF(情景参数!E11="原表",驱动复算!U19-驱动复算!W19,驱动复算!P19)</f>
        <v>10801.07</v>
      </c>
      <c r="H362" s="4" t="n">
        <f aca="false">IF(情景参数!E11="原表",驱动复算!W19,F362*情景参数!C11)</f>
        <v>360.77</v>
      </c>
      <c r="I362" s="4" t="n">
        <f aca="false">IF(情景参数!E11="原表",驱动复算!U19,G362+H362)</f>
        <v>11161.84</v>
      </c>
      <c r="J362" s="4" t="n">
        <f aca="false">(F362-I362)*(1-情景参数!F11)</f>
        <v>6432.92</v>
      </c>
      <c r="K362" s="4" t="n">
        <f aca="false">偿债原表!C20</f>
        <v>20000</v>
      </c>
      <c r="L362" s="4" t="n">
        <f aca="false">偿债原表!D20</f>
        <v>644</v>
      </c>
      <c r="M362" s="4" t="n">
        <f aca="false">K362+L362</f>
        <v>20644</v>
      </c>
      <c r="N362" s="4" t="n">
        <f aca="false">J362-M362</f>
        <v>-14211.08</v>
      </c>
      <c r="O362" s="4" t="n">
        <f aca="false">O361+N362</f>
        <v>15494.1905</v>
      </c>
      <c r="P362" s="4" t="n">
        <f aca="false">MAX(0,-(R361+N362))</f>
        <v>0</v>
      </c>
      <c r="Q362" s="4" t="n">
        <f aca="false">Q361+P362</f>
        <v>16607.039</v>
      </c>
      <c r="R362" s="4" t="n">
        <f aca="false">O362+Q362</f>
        <v>32101.2295</v>
      </c>
    </row>
    <row r="363" customFormat="false" ht="15" hidden="false" customHeight="false" outlineLevel="0" collapsed="false">
      <c r="A363" s="2" t="s">
        <v>49</v>
      </c>
      <c r="B363" s="2" t="s">
        <v>40</v>
      </c>
      <c r="C363" s="12" t="n">
        <v>0</v>
      </c>
      <c r="D363" s="13" t="s">
        <v>248</v>
      </c>
      <c r="E363" s="4" t="n">
        <f aca="false">0</f>
        <v>0</v>
      </c>
      <c r="F363" s="4" t="n">
        <f aca="false">E363*(1-情景参数!D11)</f>
        <v>0</v>
      </c>
      <c r="G363" s="4" t="n">
        <f aca="false">0</f>
        <v>0</v>
      </c>
      <c r="H363" s="4" t="n">
        <f aca="false">0</f>
        <v>0</v>
      </c>
      <c r="I363" s="4" t="n">
        <f aca="false">0</f>
        <v>0</v>
      </c>
      <c r="J363" s="4" t="n">
        <f aca="false">(F363-I363)*(1-情景参数!F11)</f>
        <v>0</v>
      </c>
      <c r="K363" s="4" t="n">
        <f aca="false">偿债原表!F2</f>
        <v>0</v>
      </c>
      <c r="L363" s="4" t="n">
        <f aca="false">偿债原表!G2</f>
        <v>1374.2</v>
      </c>
      <c r="M363" s="4" t="n">
        <f aca="false">K363+L363</f>
        <v>1374.2</v>
      </c>
      <c r="N363" s="4" t="n">
        <f aca="false">J363-M363</f>
        <v>-1374.2</v>
      </c>
      <c r="O363" s="4" t="n">
        <f aca="false">N363</f>
        <v>-1374.2</v>
      </c>
      <c r="P363" s="4" t="n">
        <f aca="false">MAX(0,-N363)</f>
        <v>1374.2</v>
      </c>
      <c r="Q363" s="4" t="n">
        <f aca="false">P363</f>
        <v>1374.2</v>
      </c>
      <c r="R363" s="4" t="n">
        <f aca="false">O363+Q363</f>
        <v>0</v>
      </c>
    </row>
    <row r="364" customFormat="false" ht="15" hidden="false" customHeight="false" outlineLevel="0" collapsed="false">
      <c r="A364" s="2" t="s">
        <v>49</v>
      </c>
      <c r="B364" s="2" t="s">
        <v>40</v>
      </c>
      <c r="C364" s="12" t="n">
        <v>1</v>
      </c>
      <c r="D364" s="12" t="n">
        <v>2024</v>
      </c>
      <c r="E364" s="4" t="n">
        <f aca="false">INDEX(驱动复算!A2:X2,1,情景参数!B11)</f>
        <v>0</v>
      </c>
      <c r="F364" s="4" t="n">
        <f aca="false">E364*(1-情景参数!D11)</f>
        <v>0</v>
      </c>
      <c r="G364" s="4" t="n">
        <f aca="false">IF(情景参数!E11="原表",驱动复算!U2-驱动复算!W2,驱动复算!P2)</f>
        <v>0</v>
      </c>
      <c r="H364" s="4" t="n">
        <f aca="false">IF(情景参数!E11="原表",驱动复算!W2,F364*情景参数!C11)</f>
        <v>0</v>
      </c>
      <c r="I364" s="4" t="n">
        <f aca="false">IF(情景参数!E11="原表",驱动复算!U2,G364+H364)</f>
        <v>0</v>
      </c>
      <c r="J364" s="4" t="n">
        <f aca="false">(F364-I364)*(1-情景参数!F11)</f>
        <v>0</v>
      </c>
      <c r="K364" s="4" t="n">
        <f aca="false">偿债原表!F3</f>
        <v>0</v>
      </c>
      <c r="L364" s="4" t="n">
        <f aca="false">偿债原表!G3</f>
        <v>1107.58</v>
      </c>
      <c r="M364" s="4" t="n">
        <f aca="false">K364+L364</f>
        <v>1107.58</v>
      </c>
      <c r="N364" s="4" t="n">
        <f aca="false">J364-M364</f>
        <v>-1107.58</v>
      </c>
      <c r="O364" s="4" t="n">
        <f aca="false">O363+N364</f>
        <v>-2481.78</v>
      </c>
      <c r="P364" s="4" t="n">
        <f aca="false">MAX(0,-(R363+N364))</f>
        <v>1107.58</v>
      </c>
      <c r="Q364" s="4" t="n">
        <f aca="false">Q363+P364</f>
        <v>2481.78</v>
      </c>
      <c r="R364" s="4" t="n">
        <f aca="false">O364+Q364</f>
        <v>0</v>
      </c>
    </row>
    <row r="365" customFormat="false" ht="15" hidden="false" customHeight="false" outlineLevel="0" collapsed="false">
      <c r="A365" s="2" t="s">
        <v>49</v>
      </c>
      <c r="B365" s="2" t="s">
        <v>40</v>
      </c>
      <c r="C365" s="12" t="n">
        <v>2</v>
      </c>
      <c r="D365" s="12" t="n">
        <v>2025</v>
      </c>
      <c r="E365" s="4" t="n">
        <f aca="false">INDEX(驱动复算!A3:X3,1,情景参数!B11)</f>
        <v>0</v>
      </c>
      <c r="F365" s="4" t="n">
        <f aca="false">E365*(1-情景参数!D11)</f>
        <v>0</v>
      </c>
      <c r="G365" s="4" t="n">
        <f aca="false">IF(情景参数!E11="原表",驱动复算!U3-驱动复算!W3,驱动复算!P3)</f>
        <v>0</v>
      </c>
      <c r="H365" s="4" t="n">
        <f aca="false">IF(情景参数!E11="原表",驱动复算!W3,F365*情景参数!C11)</f>
        <v>0</v>
      </c>
      <c r="I365" s="4" t="n">
        <f aca="false">IF(情景参数!E11="原表",驱动复算!U3,G365+H365)</f>
        <v>0</v>
      </c>
      <c r="J365" s="4" t="n">
        <f aca="false">(F365-I365)*(1-情景参数!F11)</f>
        <v>0</v>
      </c>
      <c r="K365" s="4" t="n">
        <f aca="false">偿债原表!F4</f>
        <v>0</v>
      </c>
      <c r="L365" s="4" t="n">
        <f aca="false">偿债原表!G4</f>
        <v>1107.58</v>
      </c>
      <c r="M365" s="4" t="n">
        <f aca="false">K365+L365</f>
        <v>1107.58</v>
      </c>
      <c r="N365" s="4" t="n">
        <f aca="false">J365-M365</f>
        <v>-1107.58</v>
      </c>
      <c r="O365" s="4" t="n">
        <f aca="false">O364+N365</f>
        <v>-3589.36</v>
      </c>
      <c r="P365" s="4" t="n">
        <f aca="false">MAX(0,-(R364+N365))</f>
        <v>1107.58</v>
      </c>
      <c r="Q365" s="4" t="n">
        <f aca="false">Q364+P365</f>
        <v>3589.36</v>
      </c>
      <c r="R365" s="4" t="n">
        <f aca="false">O365+Q365</f>
        <v>0</v>
      </c>
    </row>
    <row r="366" customFormat="false" ht="15" hidden="false" customHeight="false" outlineLevel="0" collapsed="false">
      <c r="A366" s="2" t="s">
        <v>49</v>
      </c>
      <c r="B366" s="2" t="s">
        <v>40</v>
      </c>
      <c r="C366" s="12" t="n">
        <v>3</v>
      </c>
      <c r="D366" s="12" t="n">
        <v>2026</v>
      </c>
      <c r="E366" s="4" t="n">
        <f aca="false">INDEX(驱动复算!A4:X4,1,情景参数!B11)</f>
        <v>0</v>
      </c>
      <c r="F366" s="4" t="n">
        <f aca="false">E366*(1-情景参数!D11)</f>
        <v>0</v>
      </c>
      <c r="G366" s="4" t="n">
        <f aca="false">IF(情景参数!E11="原表",驱动复算!U4-驱动复算!W4,驱动复算!P4)</f>
        <v>0</v>
      </c>
      <c r="H366" s="4" t="n">
        <f aca="false">IF(情景参数!E11="原表",驱动复算!W4,F366*情景参数!C11)</f>
        <v>0</v>
      </c>
      <c r="I366" s="4" t="n">
        <f aca="false">IF(情景参数!E11="原表",驱动复算!U4,G366+H366)</f>
        <v>0</v>
      </c>
      <c r="J366" s="4" t="n">
        <f aca="false">(F366-I366)*(1-情景参数!F11)</f>
        <v>0</v>
      </c>
      <c r="K366" s="4" t="n">
        <f aca="false">偿债原表!F5</f>
        <v>0</v>
      </c>
      <c r="L366" s="4" t="n">
        <f aca="false">偿债原表!G5</f>
        <v>1107.58</v>
      </c>
      <c r="M366" s="4" t="n">
        <f aca="false">K366+L366</f>
        <v>1107.58</v>
      </c>
      <c r="N366" s="4" t="n">
        <f aca="false">J366-M366</f>
        <v>-1107.58</v>
      </c>
      <c r="O366" s="4" t="n">
        <f aca="false">O365+N366</f>
        <v>-4696.94</v>
      </c>
      <c r="P366" s="4" t="n">
        <f aca="false">MAX(0,-(R365+N366))</f>
        <v>1107.58</v>
      </c>
      <c r="Q366" s="4" t="n">
        <f aca="false">Q365+P366</f>
        <v>4696.94</v>
      </c>
      <c r="R366" s="4" t="n">
        <f aca="false">O366+Q366</f>
        <v>0</v>
      </c>
    </row>
    <row r="367" customFormat="false" ht="15" hidden="false" customHeight="false" outlineLevel="0" collapsed="false">
      <c r="A367" s="2" t="s">
        <v>49</v>
      </c>
      <c r="B367" s="2" t="s">
        <v>40</v>
      </c>
      <c r="C367" s="12" t="n">
        <v>4</v>
      </c>
      <c r="D367" s="12" t="n">
        <v>2027</v>
      </c>
      <c r="E367" s="4" t="n">
        <f aca="false">INDEX(驱动复算!A5:X5,1,情景参数!B11)</f>
        <v>0</v>
      </c>
      <c r="F367" s="4" t="n">
        <f aca="false">E367*(1-情景参数!D11)</f>
        <v>0</v>
      </c>
      <c r="G367" s="4" t="n">
        <f aca="false">IF(情景参数!E11="原表",驱动复算!U5-驱动复算!W5,驱动复算!P5)</f>
        <v>0</v>
      </c>
      <c r="H367" s="4" t="n">
        <f aca="false">IF(情景参数!E11="原表",驱动复算!W5,F367*情景参数!C11)</f>
        <v>0</v>
      </c>
      <c r="I367" s="4" t="n">
        <f aca="false">IF(情景参数!E11="原表",驱动复算!U5,G367+H367)</f>
        <v>0</v>
      </c>
      <c r="J367" s="4" t="n">
        <f aca="false">(F367-I367)*(1-情景参数!F11)</f>
        <v>0</v>
      </c>
      <c r="K367" s="4" t="n">
        <f aca="false">偿债原表!F6</f>
        <v>0</v>
      </c>
      <c r="L367" s="4" t="n">
        <f aca="false">偿债原表!G6</f>
        <v>1107.58</v>
      </c>
      <c r="M367" s="4" t="n">
        <f aca="false">K367+L367</f>
        <v>1107.58</v>
      </c>
      <c r="N367" s="4" t="n">
        <f aca="false">J367-M367</f>
        <v>-1107.58</v>
      </c>
      <c r="O367" s="4" t="n">
        <f aca="false">O366+N367</f>
        <v>-5804.52</v>
      </c>
      <c r="P367" s="4" t="n">
        <f aca="false">MAX(0,-(R366+N367))</f>
        <v>1107.58</v>
      </c>
      <c r="Q367" s="4" t="n">
        <f aca="false">Q366+P367</f>
        <v>5804.52</v>
      </c>
      <c r="R367" s="4" t="n">
        <f aca="false">O367+Q367</f>
        <v>0</v>
      </c>
    </row>
    <row r="368" customFormat="false" ht="15" hidden="false" customHeight="false" outlineLevel="0" collapsed="false">
      <c r="A368" s="2" t="s">
        <v>49</v>
      </c>
      <c r="B368" s="2" t="s">
        <v>40</v>
      </c>
      <c r="C368" s="12" t="n">
        <v>5</v>
      </c>
      <c r="D368" s="12" t="n">
        <v>2028</v>
      </c>
      <c r="E368" s="4" t="n">
        <f aca="false">INDEX(驱动复算!A6:X6,1,情景参数!B11)</f>
        <v>9234.58</v>
      </c>
      <c r="F368" s="4" t="n">
        <f aca="false">E368*(1-情景参数!D11)</f>
        <v>8772.851</v>
      </c>
      <c r="G368" s="4" t="n">
        <f aca="false">IF(情景参数!E11="原表",驱动复算!U6-驱动复算!W6,驱动复算!P6)</f>
        <v>7355</v>
      </c>
      <c r="H368" s="4" t="n">
        <f aca="false">IF(情景参数!E11="原表",驱动复算!W6,F368*情景参数!C11)</f>
        <v>184.69</v>
      </c>
      <c r="I368" s="4" t="n">
        <f aca="false">IF(情景参数!E11="原表",驱动复算!U6,G368+H368)</f>
        <v>7539.69</v>
      </c>
      <c r="J368" s="4" t="n">
        <f aca="false">(F368-I368)*(1-情景参数!F11)</f>
        <v>1233.161</v>
      </c>
      <c r="K368" s="4" t="n">
        <f aca="false">偿债原表!F7</f>
        <v>1400</v>
      </c>
      <c r="L368" s="4" t="n">
        <f aca="false">偿债原表!G7</f>
        <v>1107.58</v>
      </c>
      <c r="M368" s="4" t="n">
        <f aca="false">K368+L368</f>
        <v>2507.58</v>
      </c>
      <c r="N368" s="4" t="n">
        <f aca="false">J368-M368</f>
        <v>-1274.419</v>
      </c>
      <c r="O368" s="4" t="n">
        <f aca="false">O367+N368</f>
        <v>-7078.939</v>
      </c>
      <c r="P368" s="4" t="n">
        <f aca="false">MAX(0,-(R367+N368))</f>
        <v>1274.419</v>
      </c>
      <c r="Q368" s="4" t="n">
        <f aca="false">Q367+P368</f>
        <v>7078.939</v>
      </c>
      <c r="R368" s="4" t="n">
        <f aca="false">O368+Q368</f>
        <v>0</v>
      </c>
    </row>
    <row r="369" customFormat="false" ht="15" hidden="false" customHeight="false" outlineLevel="0" collapsed="false">
      <c r="A369" s="2" t="s">
        <v>49</v>
      </c>
      <c r="B369" s="2" t="s">
        <v>40</v>
      </c>
      <c r="C369" s="12" t="n">
        <v>6</v>
      </c>
      <c r="D369" s="12" t="n">
        <v>2029</v>
      </c>
      <c r="E369" s="4" t="n">
        <f aca="false">INDEX(驱动复算!A7:X7,1,情景参数!B11)</f>
        <v>10123.19</v>
      </c>
      <c r="F369" s="4" t="n">
        <f aca="false">E369*(1-情景参数!D11)</f>
        <v>9617.0305</v>
      </c>
      <c r="G369" s="4" t="n">
        <f aca="false">IF(情景参数!E11="原表",驱动复算!U7-驱动复算!W7,驱动复算!P7)</f>
        <v>7575.65</v>
      </c>
      <c r="H369" s="4" t="n">
        <f aca="false">IF(情景参数!E11="原表",驱动复算!W7,F369*情景参数!C11)</f>
        <v>202.46</v>
      </c>
      <c r="I369" s="4" t="n">
        <f aca="false">IF(情景参数!E11="原表",驱动复算!U7,G369+H369)</f>
        <v>7778.11</v>
      </c>
      <c r="J369" s="4" t="n">
        <f aca="false">(F369-I369)*(1-情景参数!F11)</f>
        <v>1838.9205</v>
      </c>
      <c r="K369" s="4" t="n">
        <f aca="false">偿债原表!F8</f>
        <v>0</v>
      </c>
      <c r="L369" s="4" t="n">
        <f aca="false">偿债原表!G8</f>
        <v>1075.8</v>
      </c>
      <c r="M369" s="4" t="n">
        <f aca="false">K369+L369</f>
        <v>1075.8</v>
      </c>
      <c r="N369" s="4" t="n">
        <f aca="false">J369-M369</f>
        <v>763.120500000001</v>
      </c>
      <c r="O369" s="4" t="n">
        <f aca="false">O368+N369</f>
        <v>-6315.8185</v>
      </c>
      <c r="P369" s="4" t="n">
        <f aca="false">MAX(0,-(R368+N369))</f>
        <v>0</v>
      </c>
      <c r="Q369" s="4" t="n">
        <f aca="false">Q368+P369</f>
        <v>7078.939</v>
      </c>
      <c r="R369" s="4" t="n">
        <f aca="false">O369+Q369</f>
        <v>763.120500000001</v>
      </c>
    </row>
    <row r="370" customFormat="false" ht="15" hidden="false" customHeight="false" outlineLevel="0" collapsed="false">
      <c r="A370" s="2" t="s">
        <v>49</v>
      </c>
      <c r="B370" s="2" t="s">
        <v>40</v>
      </c>
      <c r="C370" s="12" t="n">
        <v>7</v>
      </c>
      <c r="D370" s="12" t="n">
        <v>2030</v>
      </c>
      <c r="E370" s="4" t="n">
        <f aca="false">INDEX(驱动复算!A8:X8,1,情景参数!B11)</f>
        <v>11041.69</v>
      </c>
      <c r="F370" s="4" t="n">
        <f aca="false">E370*(1-情景参数!D11)</f>
        <v>10489.6055</v>
      </c>
      <c r="G370" s="4" t="n">
        <f aca="false">IF(情景参数!E11="原表",驱动复算!U8-驱动复算!W8,驱动复算!P8)</f>
        <v>7802.91</v>
      </c>
      <c r="H370" s="4" t="n">
        <f aca="false">IF(情景参数!E11="原表",驱动复算!W8,F370*情景参数!C11)</f>
        <v>220.83</v>
      </c>
      <c r="I370" s="4" t="n">
        <f aca="false">IF(情景参数!E11="原表",驱动复算!U8,G370+H370)</f>
        <v>8023.74</v>
      </c>
      <c r="J370" s="4" t="n">
        <f aca="false">(F370-I370)*(1-情景参数!F11)</f>
        <v>2465.8655</v>
      </c>
      <c r="K370" s="4" t="n">
        <f aca="false">偿债原表!F9</f>
        <v>0</v>
      </c>
      <c r="L370" s="4" t="n">
        <f aca="false">偿债原表!G9</f>
        <v>1075.8</v>
      </c>
      <c r="M370" s="4" t="n">
        <f aca="false">K370+L370</f>
        <v>1075.8</v>
      </c>
      <c r="N370" s="4" t="n">
        <f aca="false">J370-M370</f>
        <v>1390.0655</v>
      </c>
      <c r="O370" s="4" t="n">
        <f aca="false">O369+N370</f>
        <v>-4925.753</v>
      </c>
      <c r="P370" s="4" t="n">
        <f aca="false">MAX(0,-(R369+N370))</f>
        <v>0</v>
      </c>
      <c r="Q370" s="4" t="n">
        <f aca="false">Q369+P370</f>
        <v>7078.939</v>
      </c>
      <c r="R370" s="4" t="n">
        <f aca="false">O370+Q370</f>
        <v>2153.186</v>
      </c>
    </row>
    <row r="371" customFormat="false" ht="15" hidden="false" customHeight="false" outlineLevel="0" collapsed="false">
      <c r="A371" s="2" t="s">
        <v>49</v>
      </c>
      <c r="B371" s="2" t="s">
        <v>40</v>
      </c>
      <c r="C371" s="12" t="n">
        <v>8</v>
      </c>
      <c r="D371" s="12" t="n">
        <v>2031</v>
      </c>
      <c r="E371" s="4" t="n">
        <f aca="false">INDEX(驱动复算!A9:X9,1,情景参数!B11)</f>
        <v>12052.04</v>
      </c>
      <c r="F371" s="4" t="n">
        <f aca="false">E371*(1-情景参数!D11)</f>
        <v>11449.438</v>
      </c>
      <c r="G371" s="4" t="n">
        <f aca="false">IF(情景参数!E11="原表",驱动复算!U9-驱动复算!W9,驱动复算!P9)</f>
        <v>8037</v>
      </c>
      <c r="H371" s="4" t="n">
        <f aca="false">IF(情景参数!E11="原表",驱动复算!W9,F371*情景参数!C11)</f>
        <v>241.04</v>
      </c>
      <c r="I371" s="4" t="n">
        <f aca="false">IF(情景参数!E11="原表",驱动复算!U9,G371+H371)</f>
        <v>8278.04</v>
      </c>
      <c r="J371" s="4" t="n">
        <f aca="false">(F371-I371)*(1-情景参数!F11)</f>
        <v>3171.398</v>
      </c>
      <c r="K371" s="4" t="n">
        <f aca="false">偿债原表!F10</f>
        <v>0</v>
      </c>
      <c r="L371" s="4" t="n">
        <f aca="false">偿债原表!G10</f>
        <v>1075.8</v>
      </c>
      <c r="M371" s="4" t="n">
        <f aca="false">K371+L371</f>
        <v>1075.8</v>
      </c>
      <c r="N371" s="4" t="n">
        <f aca="false">J371-M371</f>
        <v>2095.598</v>
      </c>
      <c r="O371" s="4" t="n">
        <f aca="false">O370+N371</f>
        <v>-2830.155</v>
      </c>
      <c r="P371" s="4" t="n">
        <f aca="false">MAX(0,-(R370+N371))</f>
        <v>0</v>
      </c>
      <c r="Q371" s="4" t="n">
        <f aca="false">Q370+P371</f>
        <v>7078.939</v>
      </c>
      <c r="R371" s="4" t="n">
        <f aca="false">O371+Q371</f>
        <v>4248.784</v>
      </c>
    </row>
    <row r="372" customFormat="false" ht="15" hidden="false" customHeight="false" outlineLevel="0" collapsed="false">
      <c r="A372" s="2" t="s">
        <v>49</v>
      </c>
      <c r="B372" s="2" t="s">
        <v>40</v>
      </c>
      <c r="C372" s="12" t="n">
        <v>9</v>
      </c>
      <c r="D372" s="12" t="n">
        <v>2032</v>
      </c>
      <c r="E372" s="4" t="n">
        <f aca="false">INDEX(驱动复算!A10:X10,1,情景参数!B11)</f>
        <v>13163.43</v>
      </c>
      <c r="F372" s="4" t="n">
        <f aca="false">E372*(1-情景参数!D11)</f>
        <v>12505.2585</v>
      </c>
      <c r="G372" s="4" t="n">
        <f aca="false">IF(情景参数!E11="原表",驱动复算!U10-驱动复算!W10,驱动复算!P10)</f>
        <v>8278.11</v>
      </c>
      <c r="H372" s="4" t="n">
        <f aca="false">IF(情景参数!E11="原表",驱动复算!W10,F372*情景参数!C11)</f>
        <v>263.27</v>
      </c>
      <c r="I372" s="4" t="n">
        <f aca="false">IF(情景参数!E11="原表",驱动复算!U10,G372+H372)</f>
        <v>8541.38</v>
      </c>
      <c r="J372" s="4" t="n">
        <f aca="false">(F372-I372)*(1-情景参数!F11)</f>
        <v>3963.8785</v>
      </c>
      <c r="K372" s="4" t="n">
        <f aca="false">偿债原表!F11</f>
        <v>2000</v>
      </c>
      <c r="L372" s="4" t="n">
        <f aca="false">偿债原表!G11</f>
        <v>1075.8</v>
      </c>
      <c r="M372" s="4" t="n">
        <f aca="false">K372+L372</f>
        <v>3075.8</v>
      </c>
      <c r="N372" s="4" t="n">
        <f aca="false">J372-M372</f>
        <v>888.078500000001</v>
      </c>
      <c r="O372" s="4" t="n">
        <f aca="false">O371+N372</f>
        <v>-1942.0765</v>
      </c>
      <c r="P372" s="4" t="n">
        <f aca="false">MAX(0,-(R371+N372))</f>
        <v>0</v>
      </c>
      <c r="Q372" s="4" t="n">
        <f aca="false">Q371+P372</f>
        <v>7078.939</v>
      </c>
      <c r="R372" s="4" t="n">
        <f aca="false">O372+Q372</f>
        <v>5136.8625</v>
      </c>
    </row>
    <row r="373" customFormat="false" ht="15" hidden="false" customHeight="false" outlineLevel="0" collapsed="false">
      <c r="A373" s="2" t="s">
        <v>49</v>
      </c>
      <c r="B373" s="2" t="s">
        <v>40</v>
      </c>
      <c r="C373" s="12" t="n">
        <v>10</v>
      </c>
      <c r="D373" s="12" t="n">
        <v>2033</v>
      </c>
      <c r="E373" s="4" t="n">
        <f aca="false">INDEX(驱动复算!A11:X11,1,情景参数!B11)</f>
        <v>14139.86</v>
      </c>
      <c r="F373" s="4" t="n">
        <f aca="false">E373*(1-情景参数!D11)</f>
        <v>13432.867</v>
      </c>
      <c r="G373" s="4" t="n">
        <f aca="false">IF(情景参数!E11="原表",驱动复算!U11-驱动复算!W11,驱动复算!P11)</f>
        <v>8526.47</v>
      </c>
      <c r="H373" s="4" t="n">
        <f aca="false">IF(情景参数!E11="原表",驱动复算!W11,F373*情景参数!C11)</f>
        <v>282.8</v>
      </c>
      <c r="I373" s="4" t="n">
        <f aca="false">IF(情景参数!E11="原表",驱动复算!U11,G373+H373)</f>
        <v>8809.27</v>
      </c>
      <c r="J373" s="4" t="n">
        <f aca="false">(F373-I373)*(1-情景参数!F11)</f>
        <v>4623.597</v>
      </c>
      <c r="K373" s="4" t="n">
        <f aca="false">偿债原表!F12</f>
        <v>9600</v>
      </c>
      <c r="L373" s="4" t="n">
        <f aca="false">偿债原表!G12</f>
        <v>1018.8</v>
      </c>
      <c r="M373" s="4" t="n">
        <f aca="false">K373+L373</f>
        <v>10618.8</v>
      </c>
      <c r="N373" s="4" t="n">
        <f aca="false">J373-M373</f>
        <v>-5995.203</v>
      </c>
      <c r="O373" s="4" t="n">
        <f aca="false">O372+N373</f>
        <v>-7937.2795</v>
      </c>
      <c r="P373" s="4" t="n">
        <f aca="false">MAX(0,-(R372+N373))</f>
        <v>858.340499999999</v>
      </c>
      <c r="Q373" s="4" t="n">
        <f aca="false">Q372+P373</f>
        <v>7937.2795</v>
      </c>
      <c r="R373" s="4" t="n">
        <f aca="false">O373+Q373</f>
        <v>0</v>
      </c>
    </row>
    <row r="374" customFormat="false" ht="15" hidden="false" customHeight="false" outlineLevel="0" collapsed="false">
      <c r="A374" s="2" t="s">
        <v>49</v>
      </c>
      <c r="B374" s="2" t="s">
        <v>40</v>
      </c>
      <c r="C374" s="12" t="n">
        <v>11</v>
      </c>
      <c r="D374" s="12" t="n">
        <v>2034</v>
      </c>
      <c r="E374" s="4" t="n">
        <f aca="false">INDEX(驱动复算!A12:X12,1,情景参数!B11)</f>
        <v>14781.69</v>
      </c>
      <c r="F374" s="4" t="n">
        <f aca="false">E374*(1-情景参数!D11)</f>
        <v>14042.6055</v>
      </c>
      <c r="G374" s="4" t="n">
        <f aca="false">IF(情景参数!E11="原表",驱动复算!U12-驱动复算!W12,驱动复算!P12)</f>
        <v>8782.26</v>
      </c>
      <c r="H374" s="4" t="n">
        <f aca="false">IF(情景参数!E11="原表",驱动复算!W12,F374*情景参数!C11)</f>
        <v>295.63</v>
      </c>
      <c r="I374" s="4" t="n">
        <f aca="false">IF(情景参数!E11="原表",驱动复算!U12,G374+H374)</f>
        <v>9077.89</v>
      </c>
      <c r="J374" s="4" t="n">
        <f aca="false">(F374-I374)*(1-情景参数!F11)</f>
        <v>4964.7155</v>
      </c>
      <c r="K374" s="4" t="n">
        <f aca="false">偿债原表!F13</f>
        <v>0</v>
      </c>
      <c r="L374" s="4" t="n">
        <f aca="false">偿债原表!G13</f>
        <v>673.2</v>
      </c>
      <c r="M374" s="4" t="n">
        <f aca="false">K374+L374</f>
        <v>673.2</v>
      </c>
      <c r="N374" s="4" t="n">
        <f aca="false">J374-M374</f>
        <v>4291.5155</v>
      </c>
      <c r="O374" s="4" t="n">
        <f aca="false">O373+N374</f>
        <v>-3645.764</v>
      </c>
      <c r="P374" s="4" t="n">
        <f aca="false">MAX(0,-(R373+N374))</f>
        <v>0</v>
      </c>
      <c r="Q374" s="4" t="n">
        <f aca="false">Q373+P374</f>
        <v>7937.2795</v>
      </c>
      <c r="R374" s="4" t="n">
        <f aca="false">O374+Q374</f>
        <v>4291.5155</v>
      </c>
    </row>
    <row r="375" customFormat="false" ht="15" hidden="false" customHeight="false" outlineLevel="0" collapsed="false">
      <c r="A375" s="2" t="s">
        <v>49</v>
      </c>
      <c r="B375" s="2" t="s">
        <v>40</v>
      </c>
      <c r="C375" s="12" t="n">
        <v>12</v>
      </c>
      <c r="D375" s="12" t="n">
        <v>2035</v>
      </c>
      <c r="E375" s="4" t="n">
        <f aca="false">INDEX(驱动复算!A13:X13,1,情景参数!B11)</f>
        <v>15455.6</v>
      </c>
      <c r="F375" s="4" t="n">
        <f aca="false">E375*(1-情景参数!D11)</f>
        <v>14682.82</v>
      </c>
      <c r="G375" s="4" t="n">
        <f aca="false">IF(情景参数!E11="原表",驱动复算!U13-驱动复算!W13,驱动复算!P13)</f>
        <v>9045.74</v>
      </c>
      <c r="H375" s="4" t="n">
        <f aca="false">IF(情景参数!E11="原表",驱动复算!W13,F375*情景参数!C11)</f>
        <v>309.11</v>
      </c>
      <c r="I375" s="4" t="n">
        <f aca="false">IF(情景参数!E11="原表",驱动复算!U13,G375+H375)</f>
        <v>9354.85</v>
      </c>
      <c r="J375" s="4" t="n">
        <f aca="false">(F375-I375)*(1-情景参数!F11)</f>
        <v>5327.97</v>
      </c>
      <c r="K375" s="4" t="n">
        <f aca="false">偿债原表!F14</f>
        <v>0</v>
      </c>
      <c r="L375" s="4" t="n">
        <f aca="false">偿债原表!G14</f>
        <v>673.2</v>
      </c>
      <c r="M375" s="4" t="n">
        <f aca="false">K375+L375</f>
        <v>673.2</v>
      </c>
      <c r="N375" s="4" t="n">
        <f aca="false">J375-M375</f>
        <v>4654.77</v>
      </c>
      <c r="O375" s="4" t="n">
        <f aca="false">O374+N375</f>
        <v>1009.006</v>
      </c>
      <c r="P375" s="4" t="n">
        <f aca="false">MAX(0,-(R374+N375))</f>
        <v>0</v>
      </c>
      <c r="Q375" s="4" t="n">
        <f aca="false">Q374+P375</f>
        <v>7937.2795</v>
      </c>
      <c r="R375" s="4" t="n">
        <f aca="false">O375+Q375</f>
        <v>8946.2855</v>
      </c>
    </row>
    <row r="376" customFormat="false" ht="15" hidden="false" customHeight="false" outlineLevel="0" collapsed="false">
      <c r="A376" s="2" t="s">
        <v>49</v>
      </c>
      <c r="B376" s="2" t="s">
        <v>40</v>
      </c>
      <c r="C376" s="12" t="n">
        <v>13</v>
      </c>
      <c r="D376" s="12" t="n">
        <v>2036</v>
      </c>
      <c r="E376" s="4" t="n">
        <f aca="false">INDEX(驱动复算!A14:X14,1,情景参数!B11)</f>
        <v>16163.21</v>
      </c>
      <c r="F376" s="4" t="n">
        <f aca="false">E376*(1-情景参数!D11)</f>
        <v>15355.0495</v>
      </c>
      <c r="G376" s="4" t="n">
        <f aca="false">IF(情景参数!E11="原表",驱动复算!U14-驱动复算!W14,驱动复算!P14)</f>
        <v>9317.11</v>
      </c>
      <c r="H376" s="4" t="n">
        <f aca="false">IF(情景参数!E11="原表",驱动复算!W14,F376*情景参数!C11)</f>
        <v>323.26</v>
      </c>
      <c r="I376" s="4" t="n">
        <f aca="false">IF(情景参数!E11="原表",驱动复算!U14,G376+H376)</f>
        <v>9640.37</v>
      </c>
      <c r="J376" s="4" t="n">
        <f aca="false">(F376-I376)*(1-情景参数!F11)</f>
        <v>5714.6795</v>
      </c>
      <c r="K376" s="4" t="n">
        <f aca="false">偿债原表!F15</f>
        <v>0</v>
      </c>
      <c r="L376" s="4" t="n">
        <f aca="false">偿债原表!G15</f>
        <v>673.2</v>
      </c>
      <c r="M376" s="4" t="n">
        <f aca="false">K376+L376</f>
        <v>673.2</v>
      </c>
      <c r="N376" s="4" t="n">
        <f aca="false">J376-M376</f>
        <v>5041.4795</v>
      </c>
      <c r="O376" s="4" t="n">
        <f aca="false">O375+N376</f>
        <v>6050.4855</v>
      </c>
      <c r="P376" s="4" t="n">
        <f aca="false">MAX(0,-(R375+N376))</f>
        <v>0</v>
      </c>
      <c r="Q376" s="4" t="n">
        <f aca="false">Q375+P376</f>
        <v>7937.2795</v>
      </c>
      <c r="R376" s="4" t="n">
        <f aca="false">O376+Q376</f>
        <v>13987.765</v>
      </c>
    </row>
    <row r="377" customFormat="false" ht="15" hidden="false" customHeight="false" outlineLevel="0" collapsed="false">
      <c r="A377" s="2" t="s">
        <v>49</v>
      </c>
      <c r="B377" s="2" t="s">
        <v>40</v>
      </c>
      <c r="C377" s="12" t="n">
        <v>14</v>
      </c>
      <c r="D377" s="12" t="n">
        <v>2037</v>
      </c>
      <c r="E377" s="4" t="n">
        <f aca="false">INDEX(驱动复算!A15:X15,1,情景参数!B11)</f>
        <v>16906.2</v>
      </c>
      <c r="F377" s="4" t="n">
        <f aca="false">E377*(1-情景参数!D11)</f>
        <v>16060.89</v>
      </c>
      <c r="G377" s="4" t="n">
        <f aca="false">IF(情景参数!E11="原表",驱动复算!U15-驱动复算!W15,驱动复算!P15)</f>
        <v>9596.62</v>
      </c>
      <c r="H377" s="4" t="n">
        <f aca="false">IF(情景参数!E11="原表",驱动复算!W15,F377*情景参数!C11)</f>
        <v>329.21</v>
      </c>
      <c r="I377" s="4" t="n">
        <f aca="false">IF(情景参数!E11="原表",驱动复算!U15,G377+H377)</f>
        <v>9925.83</v>
      </c>
      <c r="J377" s="4" t="n">
        <f aca="false">(F377-I377)*(1-情景参数!F11)</f>
        <v>6135.06</v>
      </c>
      <c r="K377" s="4" t="n">
        <f aca="false">偿债原表!F16</f>
        <v>1000</v>
      </c>
      <c r="L377" s="4" t="n">
        <f aca="false">偿债原表!G16</f>
        <v>673.2</v>
      </c>
      <c r="M377" s="4" t="n">
        <f aca="false">K377+L377</f>
        <v>1673.2</v>
      </c>
      <c r="N377" s="4" t="n">
        <f aca="false">J377-M377</f>
        <v>4461.86</v>
      </c>
      <c r="O377" s="4" t="n">
        <f aca="false">O376+N377</f>
        <v>10512.3455</v>
      </c>
      <c r="P377" s="4" t="n">
        <f aca="false">MAX(0,-(R376+N377))</f>
        <v>0</v>
      </c>
      <c r="Q377" s="4" t="n">
        <f aca="false">Q376+P377</f>
        <v>7937.2795</v>
      </c>
      <c r="R377" s="4" t="n">
        <f aca="false">O377+Q377</f>
        <v>18449.625</v>
      </c>
    </row>
    <row r="378" customFormat="false" ht="15" hidden="false" customHeight="false" outlineLevel="0" collapsed="false">
      <c r="A378" s="2" t="s">
        <v>49</v>
      </c>
      <c r="B378" s="2" t="s">
        <v>40</v>
      </c>
      <c r="C378" s="12" t="n">
        <v>15</v>
      </c>
      <c r="D378" s="12" t="n">
        <v>2038</v>
      </c>
      <c r="E378" s="4" t="n">
        <f aca="false">INDEX(驱动复算!A16:X16,1,情景参数!B11)</f>
        <v>17546.68</v>
      </c>
      <c r="F378" s="4" t="n">
        <f aca="false">E378*(1-情景参数!D11)</f>
        <v>16669.346</v>
      </c>
      <c r="G378" s="4" t="n">
        <f aca="false">IF(情景参数!E11="原表",驱动复算!U16-驱动复算!W16,驱动复算!P16)</f>
        <v>9884.51</v>
      </c>
      <c r="H378" s="4" t="n">
        <f aca="false">IF(情景参数!E11="原表",驱动复算!W16,F378*情景参数!C11)</f>
        <v>341.84</v>
      </c>
      <c r="I378" s="4" t="n">
        <f aca="false">IF(情景参数!E11="原表",驱动复算!U16,G378+H378)</f>
        <v>10226.35</v>
      </c>
      <c r="J378" s="4" t="n">
        <f aca="false">(F378-I378)*(1-情景参数!F11)</f>
        <v>6442.996</v>
      </c>
      <c r="K378" s="4" t="n">
        <f aca="false">偿债原表!F17</f>
        <v>0</v>
      </c>
      <c r="L378" s="4" t="n">
        <f aca="false">偿债原表!G17</f>
        <v>644</v>
      </c>
      <c r="M378" s="4" t="n">
        <f aca="false">K378+L378</f>
        <v>644</v>
      </c>
      <c r="N378" s="4" t="n">
        <f aca="false">J378-M378</f>
        <v>5798.996</v>
      </c>
      <c r="O378" s="4" t="n">
        <f aca="false">O377+N378</f>
        <v>16311.3415</v>
      </c>
      <c r="P378" s="4" t="n">
        <f aca="false">MAX(0,-(R377+N378))</f>
        <v>0</v>
      </c>
      <c r="Q378" s="4" t="n">
        <f aca="false">Q377+P378</f>
        <v>7937.2795</v>
      </c>
      <c r="R378" s="4" t="n">
        <f aca="false">O378+Q378</f>
        <v>24248.621</v>
      </c>
    </row>
    <row r="379" customFormat="false" ht="15" hidden="false" customHeight="false" outlineLevel="0" collapsed="false">
      <c r="A379" s="2" t="s">
        <v>49</v>
      </c>
      <c r="B379" s="2" t="s">
        <v>40</v>
      </c>
      <c r="C379" s="12" t="n">
        <v>16</v>
      </c>
      <c r="D379" s="12" t="n">
        <v>2039</v>
      </c>
      <c r="E379" s="4" t="n">
        <f aca="false">INDEX(驱动复算!A17:X17,1,情景参数!B11)</f>
        <v>17864.98</v>
      </c>
      <c r="F379" s="4" t="n">
        <f aca="false">E379*(1-情景参数!D11)</f>
        <v>16971.731</v>
      </c>
      <c r="G379" s="4" t="n">
        <f aca="false">IF(情景参数!E11="原表",驱动复算!U17-驱动复算!W17,驱动复算!P17)</f>
        <v>10181.04</v>
      </c>
      <c r="H379" s="4" t="n">
        <f aca="false">IF(情景参数!E11="原表",驱动复算!W17,F379*情景参数!C11)</f>
        <v>348.02</v>
      </c>
      <c r="I379" s="4" t="n">
        <f aca="false">IF(情景参数!E11="原表",驱动复算!U17,G379+H379)</f>
        <v>10529.06</v>
      </c>
      <c r="J379" s="4" t="n">
        <f aca="false">(F379-I379)*(1-情景参数!F11)</f>
        <v>6442.671</v>
      </c>
      <c r="K379" s="4" t="n">
        <f aca="false">偿债原表!F18</f>
        <v>0</v>
      </c>
      <c r="L379" s="4" t="n">
        <f aca="false">偿债原表!G18</f>
        <v>644</v>
      </c>
      <c r="M379" s="4" t="n">
        <f aca="false">K379+L379</f>
        <v>644</v>
      </c>
      <c r="N379" s="4" t="n">
        <f aca="false">J379-M379</f>
        <v>5798.671</v>
      </c>
      <c r="O379" s="4" t="n">
        <f aca="false">O378+N379</f>
        <v>22110.0125</v>
      </c>
      <c r="P379" s="4" t="n">
        <f aca="false">MAX(0,-(R378+N379))</f>
        <v>0</v>
      </c>
      <c r="Q379" s="4" t="n">
        <f aca="false">Q378+P379</f>
        <v>7937.2795</v>
      </c>
      <c r="R379" s="4" t="n">
        <f aca="false">O379+Q379</f>
        <v>30047.292</v>
      </c>
    </row>
    <row r="380" customFormat="false" ht="15" hidden="false" customHeight="false" outlineLevel="0" collapsed="false">
      <c r="A380" s="2" t="s">
        <v>49</v>
      </c>
      <c r="B380" s="2" t="s">
        <v>40</v>
      </c>
      <c r="C380" s="12" t="n">
        <v>17</v>
      </c>
      <c r="D380" s="12" t="n">
        <v>2040</v>
      </c>
      <c r="E380" s="4" t="n">
        <f aca="false">INDEX(驱动复算!A18:X18,1,情景参数!B11)</f>
        <v>18189.64</v>
      </c>
      <c r="F380" s="4" t="n">
        <f aca="false">E380*(1-情景参数!D11)</f>
        <v>17280.158</v>
      </c>
      <c r="G380" s="4" t="n">
        <f aca="false">IF(情景参数!E11="原表",驱动复算!U18-驱动复算!W18,驱动复算!P18)</f>
        <v>10486.47</v>
      </c>
      <c r="H380" s="4" t="n">
        <f aca="false">IF(情景参数!E11="原表",驱动复算!W18,F380*情景参数!C11)</f>
        <v>354.33</v>
      </c>
      <c r="I380" s="4" t="n">
        <f aca="false">IF(情景参数!E11="原表",驱动复算!U18,G380+H380)</f>
        <v>10840.8</v>
      </c>
      <c r="J380" s="4" t="n">
        <f aca="false">(F380-I380)*(1-情景参数!F11)</f>
        <v>6439.358</v>
      </c>
      <c r="K380" s="4" t="n">
        <f aca="false">偿债原表!F19</f>
        <v>0</v>
      </c>
      <c r="L380" s="4" t="n">
        <f aca="false">偿债原表!G19</f>
        <v>644</v>
      </c>
      <c r="M380" s="4" t="n">
        <f aca="false">K380+L380</f>
        <v>644</v>
      </c>
      <c r="N380" s="4" t="n">
        <f aca="false">J380-M380</f>
        <v>5795.358</v>
      </c>
      <c r="O380" s="4" t="n">
        <f aca="false">O379+N380</f>
        <v>27905.3705</v>
      </c>
      <c r="P380" s="4" t="n">
        <f aca="false">MAX(0,-(R379+N380))</f>
        <v>0</v>
      </c>
      <c r="Q380" s="4" t="n">
        <f aca="false">Q379+P380</f>
        <v>7937.2795</v>
      </c>
      <c r="R380" s="4" t="n">
        <f aca="false">O380+Q380</f>
        <v>35842.65</v>
      </c>
    </row>
    <row r="381" customFormat="false" ht="15" hidden="false" customHeight="false" outlineLevel="0" collapsed="false">
      <c r="A381" s="2" t="s">
        <v>49</v>
      </c>
      <c r="B381" s="2" t="s">
        <v>40</v>
      </c>
      <c r="C381" s="12" t="n">
        <v>18</v>
      </c>
      <c r="D381" s="12" t="n">
        <v>2041</v>
      </c>
      <c r="E381" s="4" t="n">
        <f aca="false">INDEX(驱动复算!A19:X19,1,情景参数!B11)</f>
        <v>18520.8</v>
      </c>
      <c r="F381" s="4" t="n">
        <f aca="false">E381*(1-情景参数!D11)</f>
        <v>17594.76</v>
      </c>
      <c r="G381" s="4" t="n">
        <f aca="false">IF(情景参数!E11="原表",驱动复算!U19-驱动复算!W19,驱动复算!P19)</f>
        <v>10801.07</v>
      </c>
      <c r="H381" s="4" t="n">
        <f aca="false">IF(情景参数!E11="原表",驱动复算!W19,F381*情景参数!C11)</f>
        <v>360.77</v>
      </c>
      <c r="I381" s="4" t="n">
        <f aca="false">IF(情景参数!E11="原表",驱动复算!U19,G381+H381)</f>
        <v>11161.84</v>
      </c>
      <c r="J381" s="4" t="n">
        <f aca="false">(F381-I381)*(1-情景参数!F11)</f>
        <v>6432.92</v>
      </c>
      <c r="K381" s="4" t="n">
        <f aca="false">偿债原表!F20</f>
        <v>20000</v>
      </c>
      <c r="L381" s="4" t="n">
        <f aca="false">偿债原表!G20</f>
        <v>644</v>
      </c>
      <c r="M381" s="4" t="n">
        <f aca="false">K381+L381</f>
        <v>20644</v>
      </c>
      <c r="N381" s="4" t="n">
        <f aca="false">J381-M381</f>
        <v>-14211.08</v>
      </c>
      <c r="O381" s="4" t="n">
        <f aca="false">O380+N381</f>
        <v>13694.2905</v>
      </c>
      <c r="P381" s="4" t="n">
        <f aca="false">MAX(0,-(R380+N381))</f>
        <v>0</v>
      </c>
      <c r="Q381" s="4" t="n">
        <f aca="false">Q380+P381</f>
        <v>7937.2795</v>
      </c>
      <c r="R381" s="4" t="n">
        <f aca="false">O381+Q381</f>
        <v>21631.57</v>
      </c>
    </row>
    <row r="382" customFormat="false" ht="15" hidden="false" customHeight="false" outlineLevel="0" collapsed="false">
      <c r="A382" s="2" t="s">
        <v>50</v>
      </c>
      <c r="B382" s="2" t="s">
        <v>39</v>
      </c>
      <c r="C382" s="12" t="n">
        <v>0</v>
      </c>
      <c r="D382" s="13" t="s">
        <v>248</v>
      </c>
      <c r="E382" s="4" t="n">
        <f aca="false">0</f>
        <v>0</v>
      </c>
      <c r="F382" s="4" t="n">
        <f aca="false">E382*(1-情景参数!D12)</f>
        <v>0</v>
      </c>
      <c r="G382" s="4" t="n">
        <f aca="false">0</f>
        <v>0</v>
      </c>
      <c r="H382" s="4" t="n">
        <f aca="false">0</f>
        <v>0</v>
      </c>
      <c r="I382" s="4" t="n">
        <f aca="false">0</f>
        <v>0</v>
      </c>
      <c r="J382" s="4" t="n">
        <f aca="false">(F382-I382)*(1-情景参数!F12)</f>
        <v>0</v>
      </c>
      <c r="K382" s="4" t="n">
        <f aca="false">偿债原表!C2</f>
        <v>0</v>
      </c>
      <c r="L382" s="4" t="n">
        <f aca="false">偿债原表!D2</f>
        <v>1374.2</v>
      </c>
      <c r="M382" s="4" t="n">
        <f aca="false">K382+L382</f>
        <v>1374.2</v>
      </c>
      <c r="N382" s="4" t="n">
        <f aca="false">J382-M382</f>
        <v>-1374.2</v>
      </c>
      <c r="O382" s="4" t="n">
        <f aca="false">N382</f>
        <v>-1374.2</v>
      </c>
      <c r="P382" s="4" t="n">
        <f aca="false">MAX(0,-N382)</f>
        <v>1374.2</v>
      </c>
      <c r="Q382" s="4" t="n">
        <f aca="false">P382</f>
        <v>1374.2</v>
      </c>
      <c r="R382" s="4" t="n">
        <f aca="false">O382+Q382</f>
        <v>0</v>
      </c>
    </row>
    <row r="383" customFormat="false" ht="15" hidden="false" customHeight="false" outlineLevel="0" collapsed="false">
      <c r="A383" s="2" t="s">
        <v>50</v>
      </c>
      <c r="B383" s="2" t="s">
        <v>39</v>
      </c>
      <c r="C383" s="12" t="n">
        <v>1</v>
      </c>
      <c r="D383" s="12" t="n">
        <v>2024</v>
      </c>
      <c r="E383" s="4" t="n">
        <f aca="false">INDEX(驱动复算!A2:X2,1,情景参数!B12)</f>
        <v>0</v>
      </c>
      <c r="F383" s="4" t="n">
        <f aca="false">E383*(1-情景参数!D12)</f>
        <v>0</v>
      </c>
      <c r="G383" s="4" t="n">
        <f aca="false">IF(情景参数!E12="原表",驱动复算!U2-驱动复算!W2,驱动复算!P2)</f>
        <v>0</v>
      </c>
      <c r="H383" s="4" t="n">
        <f aca="false">IF(情景参数!E12="原表",驱动复算!W2,F383*情景参数!C12)</f>
        <v>0</v>
      </c>
      <c r="I383" s="4" t="n">
        <f aca="false">IF(情景参数!E12="原表",驱动复算!U2,G383+H383)</f>
        <v>0</v>
      </c>
      <c r="J383" s="4" t="n">
        <f aca="false">(F383-I383)*(1-情景参数!F12)</f>
        <v>0</v>
      </c>
      <c r="K383" s="4" t="n">
        <f aca="false">偿债原表!C3</f>
        <v>0</v>
      </c>
      <c r="L383" s="4" t="n">
        <f aca="false">偿债原表!D3</f>
        <v>1093.2</v>
      </c>
      <c r="M383" s="4" t="n">
        <f aca="false">K383+L383</f>
        <v>1093.2</v>
      </c>
      <c r="N383" s="4" t="n">
        <f aca="false">J383-M383</f>
        <v>-1093.2</v>
      </c>
      <c r="O383" s="4" t="n">
        <f aca="false">O382+N383</f>
        <v>-2467.4</v>
      </c>
      <c r="P383" s="4" t="n">
        <f aca="false">MAX(0,-(R382+N383))</f>
        <v>1093.2</v>
      </c>
      <c r="Q383" s="4" t="n">
        <f aca="false">Q382+P383</f>
        <v>2467.4</v>
      </c>
      <c r="R383" s="4" t="n">
        <f aca="false">O383+Q383</f>
        <v>0</v>
      </c>
    </row>
    <row r="384" customFormat="false" ht="15" hidden="false" customHeight="false" outlineLevel="0" collapsed="false">
      <c r="A384" s="2" t="s">
        <v>50</v>
      </c>
      <c r="B384" s="2" t="s">
        <v>39</v>
      </c>
      <c r="C384" s="12" t="n">
        <v>2</v>
      </c>
      <c r="D384" s="12" t="n">
        <v>2025</v>
      </c>
      <c r="E384" s="4" t="n">
        <f aca="false">INDEX(驱动复算!A3:X3,1,情景参数!B12)</f>
        <v>0</v>
      </c>
      <c r="F384" s="4" t="n">
        <f aca="false">E384*(1-情景参数!D12)</f>
        <v>0</v>
      </c>
      <c r="G384" s="4" t="n">
        <f aca="false">IF(情景参数!E12="原表",驱动复算!U3-驱动复算!W3,驱动复算!P3)</f>
        <v>0</v>
      </c>
      <c r="H384" s="4" t="n">
        <f aca="false">IF(情景参数!E12="原表",驱动复算!W3,F384*情景参数!C12)</f>
        <v>0</v>
      </c>
      <c r="I384" s="4" t="n">
        <f aca="false">IF(情景参数!E12="原表",驱动复算!U3,G384+H384)</f>
        <v>0</v>
      </c>
      <c r="J384" s="4" t="n">
        <f aca="false">(F384-I384)*(1-情景参数!F12)</f>
        <v>0</v>
      </c>
      <c r="K384" s="4" t="n">
        <f aca="false">偿债原表!C4</f>
        <v>0</v>
      </c>
      <c r="L384" s="4" t="n">
        <f aca="false">偿债原表!D4</f>
        <v>1093.2</v>
      </c>
      <c r="M384" s="4" t="n">
        <f aca="false">K384+L384</f>
        <v>1093.2</v>
      </c>
      <c r="N384" s="4" t="n">
        <f aca="false">J384-M384</f>
        <v>-1093.2</v>
      </c>
      <c r="O384" s="4" t="n">
        <f aca="false">O383+N384</f>
        <v>-3560.6</v>
      </c>
      <c r="P384" s="4" t="n">
        <f aca="false">MAX(0,-(R383+N384))</f>
        <v>1093.2</v>
      </c>
      <c r="Q384" s="4" t="n">
        <f aca="false">Q383+P384</f>
        <v>3560.6</v>
      </c>
      <c r="R384" s="4" t="n">
        <f aca="false">O384+Q384</f>
        <v>0</v>
      </c>
    </row>
    <row r="385" customFormat="false" ht="15" hidden="false" customHeight="false" outlineLevel="0" collapsed="false">
      <c r="A385" s="2" t="s">
        <v>50</v>
      </c>
      <c r="B385" s="2" t="s">
        <v>39</v>
      </c>
      <c r="C385" s="12" t="n">
        <v>3</v>
      </c>
      <c r="D385" s="12" t="n">
        <v>2026</v>
      </c>
      <c r="E385" s="4" t="n">
        <f aca="false">INDEX(驱动复算!A4:X4,1,情景参数!B12)</f>
        <v>0</v>
      </c>
      <c r="F385" s="4" t="n">
        <f aca="false">E385*(1-情景参数!D12)</f>
        <v>0</v>
      </c>
      <c r="G385" s="4" t="n">
        <f aca="false">IF(情景参数!E12="原表",驱动复算!U4-驱动复算!W4,驱动复算!P4)</f>
        <v>0</v>
      </c>
      <c r="H385" s="4" t="n">
        <f aca="false">IF(情景参数!E12="原表",驱动复算!W4,F385*情景参数!C12)</f>
        <v>0</v>
      </c>
      <c r="I385" s="4" t="n">
        <f aca="false">IF(情景参数!E12="原表",驱动复算!U4,G385+H385)</f>
        <v>0</v>
      </c>
      <c r="J385" s="4" t="n">
        <f aca="false">(F385-I385)*(1-情景参数!F12)</f>
        <v>0</v>
      </c>
      <c r="K385" s="4" t="n">
        <f aca="false">偿债原表!C5</f>
        <v>0</v>
      </c>
      <c r="L385" s="4" t="n">
        <f aca="false">偿债原表!D5</f>
        <v>1093.2</v>
      </c>
      <c r="M385" s="4" t="n">
        <f aca="false">K385+L385</f>
        <v>1093.2</v>
      </c>
      <c r="N385" s="4" t="n">
        <f aca="false">J385-M385</f>
        <v>-1093.2</v>
      </c>
      <c r="O385" s="4" t="n">
        <f aca="false">O384+N385</f>
        <v>-4653.8</v>
      </c>
      <c r="P385" s="4" t="n">
        <f aca="false">MAX(0,-(R384+N385))</f>
        <v>1093.2</v>
      </c>
      <c r="Q385" s="4" t="n">
        <f aca="false">Q384+P385</f>
        <v>4653.8</v>
      </c>
      <c r="R385" s="4" t="n">
        <f aca="false">O385+Q385</f>
        <v>0</v>
      </c>
    </row>
    <row r="386" customFormat="false" ht="15" hidden="false" customHeight="false" outlineLevel="0" collapsed="false">
      <c r="A386" s="2" t="s">
        <v>50</v>
      </c>
      <c r="B386" s="2" t="s">
        <v>39</v>
      </c>
      <c r="C386" s="12" t="n">
        <v>4</v>
      </c>
      <c r="D386" s="12" t="n">
        <v>2027</v>
      </c>
      <c r="E386" s="4" t="n">
        <f aca="false">INDEX(驱动复算!A5:X5,1,情景参数!B12)</f>
        <v>0</v>
      </c>
      <c r="F386" s="4" t="n">
        <f aca="false">E386*(1-情景参数!D12)</f>
        <v>0</v>
      </c>
      <c r="G386" s="4" t="n">
        <f aca="false">IF(情景参数!E12="原表",驱动复算!U5-驱动复算!W5,驱动复算!P5)</f>
        <v>0</v>
      </c>
      <c r="H386" s="4" t="n">
        <f aca="false">IF(情景参数!E12="原表",驱动复算!W5,F386*情景参数!C12)</f>
        <v>0</v>
      </c>
      <c r="I386" s="4" t="n">
        <f aca="false">IF(情景参数!E12="原表",驱动复算!U5,G386+H386)</f>
        <v>0</v>
      </c>
      <c r="J386" s="4" t="n">
        <f aca="false">(F386-I386)*(1-情景参数!F12)</f>
        <v>0</v>
      </c>
      <c r="K386" s="4" t="n">
        <f aca="false">偿债原表!C6</f>
        <v>0</v>
      </c>
      <c r="L386" s="4" t="n">
        <f aca="false">偿债原表!D6</f>
        <v>1093.2</v>
      </c>
      <c r="M386" s="4" t="n">
        <f aca="false">K386+L386</f>
        <v>1093.2</v>
      </c>
      <c r="N386" s="4" t="n">
        <f aca="false">J386-M386</f>
        <v>-1093.2</v>
      </c>
      <c r="O386" s="4" t="n">
        <f aca="false">O385+N386</f>
        <v>-5747</v>
      </c>
      <c r="P386" s="4" t="n">
        <f aca="false">MAX(0,-(R385+N386))</f>
        <v>1093.2</v>
      </c>
      <c r="Q386" s="4" t="n">
        <f aca="false">Q385+P386</f>
        <v>5747</v>
      </c>
      <c r="R386" s="4" t="n">
        <f aca="false">O386+Q386</f>
        <v>0</v>
      </c>
    </row>
    <row r="387" customFormat="false" ht="15" hidden="false" customHeight="false" outlineLevel="0" collapsed="false">
      <c r="A387" s="2" t="s">
        <v>50</v>
      </c>
      <c r="B387" s="2" t="s">
        <v>39</v>
      </c>
      <c r="C387" s="12" t="n">
        <v>5</v>
      </c>
      <c r="D387" s="12" t="n">
        <v>2028</v>
      </c>
      <c r="E387" s="4" t="n">
        <f aca="false">INDEX(驱动复算!A6:X6,1,情景参数!B12)</f>
        <v>9234.58</v>
      </c>
      <c r="F387" s="4" t="n">
        <f aca="false">E387*(1-情景参数!D12)</f>
        <v>8772.851</v>
      </c>
      <c r="G387" s="4" t="n">
        <f aca="false">IF(情景参数!E12="原表",驱动复算!U6-驱动复算!W6,驱动复算!P6)</f>
        <v>7355</v>
      </c>
      <c r="H387" s="4" t="n">
        <f aca="false">IF(情景参数!E12="原表",驱动复算!W6,F387*情景参数!C12)</f>
        <v>175.45702</v>
      </c>
      <c r="I387" s="4" t="n">
        <f aca="false">IF(情景参数!E12="原表",驱动复算!U6,G387+H387)</f>
        <v>7530.45702</v>
      </c>
      <c r="J387" s="4" t="n">
        <f aca="false">(F387-I387)*(1-情景参数!F12)</f>
        <v>1242.39398</v>
      </c>
      <c r="K387" s="4" t="n">
        <f aca="false">偿债原表!C7</f>
        <v>11000</v>
      </c>
      <c r="L387" s="4" t="n">
        <f aca="false">偿债原表!D7</f>
        <v>1093.2</v>
      </c>
      <c r="M387" s="4" t="n">
        <f aca="false">K387+L387</f>
        <v>12093.2</v>
      </c>
      <c r="N387" s="4" t="n">
        <f aca="false">J387-M387</f>
        <v>-10850.80602</v>
      </c>
      <c r="O387" s="4" t="n">
        <f aca="false">O386+N387</f>
        <v>-16597.80602</v>
      </c>
      <c r="P387" s="4" t="n">
        <f aca="false">MAX(0,-(R386+N387))</f>
        <v>10850.80602</v>
      </c>
      <c r="Q387" s="4" t="n">
        <f aca="false">Q386+P387</f>
        <v>16597.80602</v>
      </c>
      <c r="R387" s="4" t="n">
        <f aca="false">O387+Q387</f>
        <v>0</v>
      </c>
    </row>
    <row r="388" customFormat="false" ht="15" hidden="false" customHeight="false" outlineLevel="0" collapsed="false">
      <c r="A388" s="2" t="s">
        <v>50</v>
      </c>
      <c r="B388" s="2" t="s">
        <v>39</v>
      </c>
      <c r="C388" s="12" t="n">
        <v>6</v>
      </c>
      <c r="D388" s="12" t="n">
        <v>2029</v>
      </c>
      <c r="E388" s="4" t="n">
        <f aca="false">INDEX(驱动复算!A7:X7,1,情景参数!B12)</f>
        <v>10123.19</v>
      </c>
      <c r="F388" s="4" t="n">
        <f aca="false">E388*(1-情景参数!D12)</f>
        <v>9617.0305</v>
      </c>
      <c r="G388" s="4" t="n">
        <f aca="false">IF(情景参数!E12="原表",驱动复算!U7-驱动复算!W7,驱动复算!P7)</f>
        <v>7575.65</v>
      </c>
      <c r="H388" s="4" t="n">
        <f aca="false">IF(情景参数!E12="原表",驱动复算!W7,F388*情景参数!C12)</f>
        <v>192.34061</v>
      </c>
      <c r="I388" s="4" t="n">
        <f aca="false">IF(情景参数!E12="原表",驱动复算!U7,G388+H388)</f>
        <v>7767.99061</v>
      </c>
      <c r="J388" s="4" t="n">
        <f aca="false">(F388-I388)*(1-情景参数!F12)</f>
        <v>1849.03989</v>
      </c>
      <c r="K388" s="4" t="n">
        <f aca="false">偿债原表!C8</f>
        <v>0</v>
      </c>
      <c r="L388" s="4" t="n">
        <f aca="false">偿债原表!D8</f>
        <v>730.2</v>
      </c>
      <c r="M388" s="4" t="n">
        <f aca="false">K388+L388</f>
        <v>730.2</v>
      </c>
      <c r="N388" s="4" t="n">
        <f aca="false">J388-M388</f>
        <v>1118.83989</v>
      </c>
      <c r="O388" s="4" t="n">
        <f aca="false">O387+N388</f>
        <v>-15478.96613</v>
      </c>
      <c r="P388" s="4" t="n">
        <f aca="false">MAX(0,-(R387+N388))</f>
        <v>0</v>
      </c>
      <c r="Q388" s="4" t="n">
        <f aca="false">Q387+P388</f>
        <v>16597.80602</v>
      </c>
      <c r="R388" s="4" t="n">
        <f aca="false">O388+Q388</f>
        <v>1118.83989</v>
      </c>
    </row>
    <row r="389" customFormat="false" ht="15" hidden="false" customHeight="false" outlineLevel="0" collapsed="false">
      <c r="A389" s="2" t="s">
        <v>50</v>
      </c>
      <c r="B389" s="2" t="s">
        <v>39</v>
      </c>
      <c r="C389" s="12" t="n">
        <v>7</v>
      </c>
      <c r="D389" s="12" t="n">
        <v>2030</v>
      </c>
      <c r="E389" s="4" t="n">
        <f aca="false">INDEX(驱动复算!A8:X8,1,情景参数!B12)</f>
        <v>11041.69</v>
      </c>
      <c r="F389" s="4" t="n">
        <f aca="false">E389*(1-情景参数!D12)</f>
        <v>10489.6055</v>
      </c>
      <c r="G389" s="4" t="n">
        <f aca="false">IF(情景参数!E12="原表",驱动复算!U8-驱动复算!W8,驱动复算!P8)</f>
        <v>7802.9195</v>
      </c>
      <c r="H389" s="4" t="n">
        <f aca="false">IF(情景参数!E12="原表",驱动复算!W8,F389*情景参数!C12)</f>
        <v>209.79211</v>
      </c>
      <c r="I389" s="4" t="n">
        <f aca="false">IF(情景参数!E12="原表",驱动复算!U8,G389+H389)</f>
        <v>8012.71161</v>
      </c>
      <c r="J389" s="4" t="n">
        <f aca="false">(F389-I389)*(1-情景参数!F12)</f>
        <v>2476.89389</v>
      </c>
      <c r="K389" s="4" t="n">
        <f aca="false">偿债原表!C9</f>
        <v>0</v>
      </c>
      <c r="L389" s="4" t="n">
        <f aca="false">偿债原表!D9</f>
        <v>730.2</v>
      </c>
      <c r="M389" s="4" t="n">
        <f aca="false">K389+L389</f>
        <v>730.2</v>
      </c>
      <c r="N389" s="4" t="n">
        <f aca="false">J389-M389</f>
        <v>1746.69389</v>
      </c>
      <c r="O389" s="4" t="n">
        <f aca="false">O388+N389</f>
        <v>-13732.27224</v>
      </c>
      <c r="P389" s="4" t="n">
        <f aca="false">MAX(0,-(R388+N389))</f>
        <v>0</v>
      </c>
      <c r="Q389" s="4" t="n">
        <f aca="false">Q388+P389</f>
        <v>16597.80602</v>
      </c>
      <c r="R389" s="4" t="n">
        <f aca="false">O389+Q389</f>
        <v>2865.53378</v>
      </c>
    </row>
    <row r="390" customFormat="false" ht="15" hidden="false" customHeight="false" outlineLevel="0" collapsed="false">
      <c r="A390" s="2" t="s">
        <v>50</v>
      </c>
      <c r="B390" s="2" t="s">
        <v>39</v>
      </c>
      <c r="C390" s="12" t="n">
        <v>8</v>
      </c>
      <c r="D390" s="12" t="n">
        <v>2031</v>
      </c>
      <c r="E390" s="4" t="n">
        <f aca="false">INDEX(驱动复算!A9:X9,1,情景参数!B12)</f>
        <v>12052.04</v>
      </c>
      <c r="F390" s="4" t="n">
        <f aca="false">E390*(1-情景参数!D12)</f>
        <v>11449.438</v>
      </c>
      <c r="G390" s="4" t="n">
        <f aca="false">IF(情景参数!E12="原表",驱动复算!U9-驱动复算!W9,驱动复算!P9)</f>
        <v>8037.007085</v>
      </c>
      <c r="H390" s="4" t="n">
        <f aca="false">IF(情景参数!E12="原表",驱动复算!W9,F390*情景参数!C12)</f>
        <v>228.98876</v>
      </c>
      <c r="I390" s="4" t="n">
        <f aca="false">IF(情景参数!E12="原表",驱动复算!U9,G390+H390)</f>
        <v>8265.995845</v>
      </c>
      <c r="J390" s="4" t="n">
        <f aca="false">(F390-I390)*(1-情景参数!F12)</f>
        <v>3183.442155</v>
      </c>
      <c r="K390" s="4" t="n">
        <f aca="false">偿债原表!C10</f>
        <v>0</v>
      </c>
      <c r="L390" s="4" t="n">
        <f aca="false">偿债原表!D10</f>
        <v>730.2</v>
      </c>
      <c r="M390" s="4" t="n">
        <f aca="false">K390+L390</f>
        <v>730.2</v>
      </c>
      <c r="N390" s="4" t="n">
        <f aca="false">J390-M390</f>
        <v>2453.242155</v>
      </c>
      <c r="O390" s="4" t="n">
        <f aca="false">O389+N390</f>
        <v>-11279.030085</v>
      </c>
      <c r="P390" s="4" t="n">
        <f aca="false">MAX(0,-(R389+N390))</f>
        <v>0</v>
      </c>
      <c r="Q390" s="4" t="n">
        <f aca="false">Q389+P390</f>
        <v>16597.80602</v>
      </c>
      <c r="R390" s="4" t="n">
        <f aca="false">O390+Q390</f>
        <v>5318.775935</v>
      </c>
    </row>
    <row r="391" customFormat="false" ht="15" hidden="false" customHeight="false" outlineLevel="0" collapsed="false">
      <c r="A391" s="2" t="s">
        <v>50</v>
      </c>
      <c r="B391" s="2" t="s">
        <v>39</v>
      </c>
      <c r="C391" s="12" t="n">
        <v>9</v>
      </c>
      <c r="D391" s="12" t="n">
        <v>2032</v>
      </c>
      <c r="E391" s="4" t="n">
        <f aca="false">INDEX(驱动复算!A10:X10,1,情景参数!B12)</f>
        <v>13163.43</v>
      </c>
      <c r="F391" s="4" t="n">
        <f aca="false">E391*(1-情景参数!D12)</f>
        <v>12505.2585</v>
      </c>
      <c r="G391" s="4" t="n">
        <f aca="false">IF(情景参数!E12="原表",驱动复算!U10-驱动复算!W10,驱动复算!P10)</f>
        <v>8278.11729755</v>
      </c>
      <c r="H391" s="4" t="n">
        <f aca="false">IF(情景参数!E12="原表",驱动复算!W10,F391*情景参数!C12)</f>
        <v>250.10517</v>
      </c>
      <c r="I391" s="4" t="n">
        <f aca="false">IF(情景参数!E12="原表",驱动复算!U10,G391+H391)</f>
        <v>8528.22246755</v>
      </c>
      <c r="J391" s="4" t="n">
        <f aca="false">(F391-I391)*(1-情景参数!F12)</f>
        <v>3977.03603245</v>
      </c>
      <c r="K391" s="4" t="n">
        <f aca="false">偿债原表!C11</f>
        <v>2000</v>
      </c>
      <c r="L391" s="4" t="n">
        <f aca="false">偿债原表!D11</f>
        <v>730.2</v>
      </c>
      <c r="M391" s="4" t="n">
        <f aca="false">K391+L391</f>
        <v>2730.2</v>
      </c>
      <c r="N391" s="4" t="n">
        <f aca="false">J391-M391</f>
        <v>1246.83603245</v>
      </c>
      <c r="O391" s="4" t="n">
        <f aca="false">O390+N391</f>
        <v>-10032.19405255</v>
      </c>
      <c r="P391" s="4" t="n">
        <f aca="false">MAX(0,-(R390+N391))</f>
        <v>0</v>
      </c>
      <c r="Q391" s="4" t="n">
        <f aca="false">Q390+P391</f>
        <v>16597.80602</v>
      </c>
      <c r="R391" s="4" t="n">
        <f aca="false">O391+Q391</f>
        <v>6565.61196745</v>
      </c>
    </row>
    <row r="392" customFormat="false" ht="15" hidden="false" customHeight="false" outlineLevel="0" collapsed="false">
      <c r="A392" s="2" t="s">
        <v>50</v>
      </c>
      <c r="B392" s="2" t="s">
        <v>39</v>
      </c>
      <c r="C392" s="12" t="n">
        <v>10</v>
      </c>
      <c r="D392" s="12" t="n">
        <v>2033</v>
      </c>
      <c r="E392" s="4" t="n">
        <f aca="false">INDEX(驱动复算!A11:X11,1,情景参数!B12)</f>
        <v>14139.86</v>
      </c>
      <c r="F392" s="4" t="n">
        <f aca="false">E392*(1-情景参数!D12)</f>
        <v>13432.867</v>
      </c>
      <c r="G392" s="4" t="n">
        <f aca="false">IF(情景参数!E12="原表",驱动复算!U11-驱动复算!W11,驱动复算!P11)</f>
        <v>8526.4608164765</v>
      </c>
      <c r="H392" s="4" t="n">
        <f aca="false">IF(情景参数!E12="原表",驱动复算!W11,F392*情景参数!C12)</f>
        <v>268.65734</v>
      </c>
      <c r="I392" s="4" t="n">
        <f aca="false">IF(情景参数!E12="原表",驱动复算!U11,G392+H392)</f>
        <v>8795.1181564765</v>
      </c>
      <c r="J392" s="4" t="n">
        <f aca="false">(F392-I392)*(1-情景参数!F12)</f>
        <v>4637.7488435235</v>
      </c>
      <c r="K392" s="4" t="n">
        <f aca="false">偿债原表!C12</f>
        <v>0</v>
      </c>
      <c r="L392" s="4" t="n">
        <f aca="false">偿债原表!D12</f>
        <v>673.2</v>
      </c>
      <c r="M392" s="4" t="n">
        <f aca="false">K392+L392</f>
        <v>673.2</v>
      </c>
      <c r="N392" s="4" t="n">
        <f aca="false">J392-M392</f>
        <v>3964.5488435235</v>
      </c>
      <c r="O392" s="4" t="n">
        <f aca="false">O391+N392</f>
        <v>-6067.64520902651</v>
      </c>
      <c r="P392" s="4" t="n">
        <f aca="false">MAX(0,-(R391+N392))</f>
        <v>0</v>
      </c>
      <c r="Q392" s="4" t="n">
        <f aca="false">Q391+P392</f>
        <v>16597.80602</v>
      </c>
      <c r="R392" s="4" t="n">
        <f aca="false">O392+Q392</f>
        <v>10530.1608109735</v>
      </c>
    </row>
    <row r="393" customFormat="false" ht="15" hidden="false" customHeight="false" outlineLevel="0" collapsed="false">
      <c r="A393" s="2" t="s">
        <v>50</v>
      </c>
      <c r="B393" s="2" t="s">
        <v>39</v>
      </c>
      <c r="C393" s="12" t="n">
        <v>11</v>
      </c>
      <c r="D393" s="12" t="n">
        <v>2034</v>
      </c>
      <c r="E393" s="4" t="n">
        <f aca="false">INDEX(驱动复算!A12:X12,1,情景参数!B12)</f>
        <v>14781.69</v>
      </c>
      <c r="F393" s="4" t="n">
        <f aca="false">E393*(1-情景参数!D12)</f>
        <v>14042.6055</v>
      </c>
      <c r="G393" s="4" t="n">
        <f aca="false">IF(情景参数!E12="原表",驱动复算!U12-驱动复算!W12,驱动复算!P12)</f>
        <v>8782.2546409708</v>
      </c>
      <c r="H393" s="4" t="n">
        <f aca="false">IF(情景参数!E12="原表",驱动复算!W12,F393*情景参数!C12)</f>
        <v>280.85211</v>
      </c>
      <c r="I393" s="4" t="n">
        <f aca="false">IF(情景参数!E12="原表",驱动复算!U12,G393+H393)</f>
        <v>9063.1067509708</v>
      </c>
      <c r="J393" s="4" t="n">
        <f aca="false">(F393-I393)*(1-情景参数!F12)</f>
        <v>4979.4987490292</v>
      </c>
      <c r="K393" s="4" t="n">
        <f aca="false">偿债原表!C13</f>
        <v>0</v>
      </c>
      <c r="L393" s="4" t="n">
        <f aca="false">偿债原表!D13</f>
        <v>673.2</v>
      </c>
      <c r="M393" s="4" t="n">
        <f aca="false">K393+L393</f>
        <v>673.2</v>
      </c>
      <c r="N393" s="4" t="n">
        <f aca="false">J393-M393</f>
        <v>4306.2987490292</v>
      </c>
      <c r="O393" s="4" t="n">
        <f aca="false">O392+N393</f>
        <v>-1761.3464599973</v>
      </c>
      <c r="P393" s="4" t="n">
        <f aca="false">MAX(0,-(R392+N393))</f>
        <v>0</v>
      </c>
      <c r="Q393" s="4" t="n">
        <f aca="false">Q392+P393</f>
        <v>16597.80602</v>
      </c>
      <c r="R393" s="4" t="n">
        <f aca="false">O393+Q393</f>
        <v>14836.4595600027</v>
      </c>
    </row>
    <row r="394" customFormat="false" ht="15" hidden="false" customHeight="false" outlineLevel="0" collapsed="false">
      <c r="A394" s="2" t="s">
        <v>50</v>
      </c>
      <c r="B394" s="2" t="s">
        <v>39</v>
      </c>
      <c r="C394" s="12" t="n">
        <v>12</v>
      </c>
      <c r="D394" s="12" t="n">
        <v>2035</v>
      </c>
      <c r="E394" s="4" t="n">
        <f aca="false">INDEX(驱动复算!A13:X13,1,情景参数!B12)</f>
        <v>15455.6</v>
      </c>
      <c r="F394" s="4" t="n">
        <f aca="false">E394*(1-情景参数!D12)</f>
        <v>14682.82</v>
      </c>
      <c r="G394" s="4" t="n">
        <f aca="false">IF(情景参数!E12="原表",驱动复算!U13-驱动复算!W13,驱动复算!P13)</f>
        <v>9045.72228019992</v>
      </c>
      <c r="H394" s="4" t="n">
        <f aca="false">IF(情景参数!E12="原表",驱动复算!W13,F394*情景参数!C12)</f>
        <v>293.6564</v>
      </c>
      <c r="I394" s="4" t="n">
        <f aca="false">IF(情景参数!E12="原表",驱动复算!U13,G394+H394)</f>
        <v>9339.37868019992</v>
      </c>
      <c r="J394" s="4" t="n">
        <f aca="false">(F394-I394)*(1-情景参数!F12)</f>
        <v>5343.44131980008</v>
      </c>
      <c r="K394" s="4" t="n">
        <f aca="false">偿债原表!C14</f>
        <v>0</v>
      </c>
      <c r="L394" s="4" t="n">
        <f aca="false">偿债原表!D14</f>
        <v>673.2</v>
      </c>
      <c r="M394" s="4" t="n">
        <f aca="false">K394+L394</f>
        <v>673.2</v>
      </c>
      <c r="N394" s="4" t="n">
        <f aca="false">J394-M394</f>
        <v>4670.24131980008</v>
      </c>
      <c r="O394" s="4" t="n">
        <f aca="false">O393+N394</f>
        <v>2908.89485980278</v>
      </c>
      <c r="P394" s="4" t="n">
        <f aca="false">MAX(0,-(R393+N394))</f>
        <v>0</v>
      </c>
      <c r="Q394" s="4" t="n">
        <f aca="false">Q393+P394</f>
        <v>16597.80602</v>
      </c>
      <c r="R394" s="4" t="n">
        <f aca="false">O394+Q394</f>
        <v>19506.7008798028</v>
      </c>
    </row>
    <row r="395" customFormat="false" ht="15" hidden="false" customHeight="false" outlineLevel="0" collapsed="false">
      <c r="A395" s="2" t="s">
        <v>50</v>
      </c>
      <c r="B395" s="2" t="s">
        <v>39</v>
      </c>
      <c r="C395" s="12" t="n">
        <v>13</v>
      </c>
      <c r="D395" s="12" t="n">
        <v>2036</v>
      </c>
      <c r="E395" s="4" t="n">
        <f aca="false">INDEX(驱动复算!A14:X14,1,情景参数!B12)</f>
        <v>16163.21</v>
      </c>
      <c r="F395" s="4" t="n">
        <f aca="false">E395*(1-情景参数!D12)</f>
        <v>15355.0495</v>
      </c>
      <c r="G395" s="4" t="n">
        <f aca="false">IF(情景参数!E12="原表",驱动复算!U14-驱动复算!W14,驱动复算!P14)</f>
        <v>9317.09394860592</v>
      </c>
      <c r="H395" s="4" t="n">
        <f aca="false">IF(情景参数!E12="原表",驱动复算!W14,F395*情景参数!C12)</f>
        <v>307.10099</v>
      </c>
      <c r="I395" s="4" t="n">
        <f aca="false">IF(情景参数!E12="原表",驱动复算!U14,G395+H395)</f>
        <v>9624.19493860592</v>
      </c>
      <c r="J395" s="4" t="n">
        <f aca="false">(F395-I395)*(1-情景参数!F12)</f>
        <v>5730.85456139408</v>
      </c>
      <c r="K395" s="4" t="n">
        <f aca="false">偿债原表!C15</f>
        <v>0</v>
      </c>
      <c r="L395" s="4" t="n">
        <f aca="false">偿债原表!D15</f>
        <v>673.2</v>
      </c>
      <c r="M395" s="4" t="n">
        <f aca="false">K395+L395</f>
        <v>673.2</v>
      </c>
      <c r="N395" s="4" t="n">
        <f aca="false">J395-M395</f>
        <v>5057.65456139408</v>
      </c>
      <c r="O395" s="4" t="n">
        <f aca="false">O394+N395</f>
        <v>7966.54942119686</v>
      </c>
      <c r="P395" s="4" t="n">
        <f aca="false">MAX(0,-(R394+N395))</f>
        <v>0</v>
      </c>
      <c r="Q395" s="4" t="n">
        <f aca="false">Q394+P395</f>
        <v>16597.80602</v>
      </c>
      <c r="R395" s="4" t="n">
        <f aca="false">O395+Q395</f>
        <v>24564.3554411969</v>
      </c>
    </row>
    <row r="396" customFormat="false" ht="15" hidden="false" customHeight="false" outlineLevel="0" collapsed="false">
      <c r="A396" s="2" t="s">
        <v>50</v>
      </c>
      <c r="B396" s="2" t="s">
        <v>39</v>
      </c>
      <c r="C396" s="12" t="n">
        <v>14</v>
      </c>
      <c r="D396" s="12" t="n">
        <v>2037</v>
      </c>
      <c r="E396" s="4" t="n">
        <f aca="false">INDEX(驱动复算!A15:X15,1,情景参数!B12)</f>
        <v>16906.2</v>
      </c>
      <c r="F396" s="4" t="n">
        <f aca="false">E396*(1-情景参数!D12)</f>
        <v>16060.89</v>
      </c>
      <c r="G396" s="4" t="n">
        <f aca="false">IF(情景参数!E12="原表",驱动复算!U15-驱动复算!W15,驱动复算!P15)</f>
        <v>9596.6067670641</v>
      </c>
      <c r="H396" s="4" t="n">
        <f aca="false">IF(情景参数!E12="原表",驱动复算!W15,F396*情景参数!C12)</f>
        <v>321.2178</v>
      </c>
      <c r="I396" s="4" t="n">
        <f aca="false">IF(情景参数!E12="原表",驱动复算!U15,G396+H396)</f>
        <v>9917.8245670641</v>
      </c>
      <c r="J396" s="4" t="n">
        <f aca="false">(F396-I396)*(1-情景参数!F12)</f>
        <v>6143.0654329359</v>
      </c>
      <c r="K396" s="4" t="n">
        <f aca="false">偿债原表!C16</f>
        <v>1000</v>
      </c>
      <c r="L396" s="4" t="n">
        <f aca="false">偿债原表!D16</f>
        <v>673.2</v>
      </c>
      <c r="M396" s="4" t="n">
        <f aca="false">K396+L396</f>
        <v>1673.2</v>
      </c>
      <c r="N396" s="4" t="n">
        <f aca="false">J396-M396</f>
        <v>4469.8654329359</v>
      </c>
      <c r="O396" s="4" t="n">
        <f aca="false">O395+N396</f>
        <v>12436.4148541328</v>
      </c>
      <c r="P396" s="4" t="n">
        <f aca="false">MAX(0,-(R395+N396))</f>
        <v>0</v>
      </c>
      <c r="Q396" s="4" t="n">
        <f aca="false">Q395+P396</f>
        <v>16597.80602</v>
      </c>
      <c r="R396" s="4" t="n">
        <f aca="false">O396+Q396</f>
        <v>29034.2208741328</v>
      </c>
    </row>
    <row r="397" customFormat="false" ht="15" hidden="false" customHeight="false" outlineLevel="0" collapsed="false">
      <c r="A397" s="2" t="s">
        <v>50</v>
      </c>
      <c r="B397" s="2" t="s">
        <v>39</v>
      </c>
      <c r="C397" s="12" t="n">
        <v>15</v>
      </c>
      <c r="D397" s="12" t="n">
        <v>2038</v>
      </c>
      <c r="E397" s="4" t="n">
        <f aca="false">INDEX(驱动复算!A16:X16,1,情景参数!B12)</f>
        <v>17546.68</v>
      </c>
      <c r="F397" s="4" t="n">
        <f aca="false">E397*(1-情景参数!D12)</f>
        <v>16669.346</v>
      </c>
      <c r="G397" s="4" t="n">
        <f aca="false">IF(情景参数!E12="原表",驱动复算!U16-驱动复算!W16,驱动复算!P16)</f>
        <v>9884.50497007602</v>
      </c>
      <c r="H397" s="4" t="n">
        <f aca="false">IF(情景参数!E12="原表",驱动复算!W16,F397*情景参数!C12)</f>
        <v>333.38692</v>
      </c>
      <c r="I397" s="4" t="n">
        <f aca="false">IF(情景参数!E12="原表",驱动复算!U16,G397+H397)</f>
        <v>10217.891890076</v>
      </c>
      <c r="J397" s="4" t="n">
        <f aca="false">(F397-I397)*(1-情景参数!F12)</f>
        <v>6451.45410992398</v>
      </c>
      <c r="K397" s="4" t="n">
        <f aca="false">偿债原表!C17</f>
        <v>0</v>
      </c>
      <c r="L397" s="4" t="n">
        <f aca="false">偿债原表!D17</f>
        <v>644</v>
      </c>
      <c r="M397" s="4" t="n">
        <f aca="false">K397+L397</f>
        <v>644</v>
      </c>
      <c r="N397" s="4" t="n">
        <f aca="false">J397-M397</f>
        <v>5807.45410992398</v>
      </c>
      <c r="O397" s="4" t="n">
        <f aca="false">O396+N397</f>
        <v>18243.8689640567</v>
      </c>
      <c r="P397" s="4" t="n">
        <f aca="false">MAX(0,-(R396+N397))</f>
        <v>0</v>
      </c>
      <c r="Q397" s="4" t="n">
        <f aca="false">Q396+P397</f>
        <v>16597.80602</v>
      </c>
      <c r="R397" s="4" t="n">
        <f aca="false">O397+Q397</f>
        <v>34841.6749840567</v>
      </c>
    </row>
    <row r="398" customFormat="false" ht="15" hidden="false" customHeight="false" outlineLevel="0" collapsed="false">
      <c r="A398" s="2" t="s">
        <v>50</v>
      </c>
      <c r="B398" s="2" t="s">
        <v>39</v>
      </c>
      <c r="C398" s="12" t="n">
        <v>16</v>
      </c>
      <c r="D398" s="12" t="n">
        <v>2039</v>
      </c>
      <c r="E398" s="4" t="n">
        <f aca="false">INDEX(驱动复算!A17:X17,1,情景参数!B12)</f>
        <v>17864.98</v>
      </c>
      <c r="F398" s="4" t="n">
        <f aca="false">E398*(1-情景参数!D12)</f>
        <v>16971.731</v>
      </c>
      <c r="G398" s="4" t="n">
        <f aca="false">IF(情景参数!E12="原表",驱动复算!U17-驱动复算!W17,驱动复算!P17)</f>
        <v>10181.0401191783</v>
      </c>
      <c r="H398" s="4" t="n">
        <f aca="false">IF(情景参数!E12="原表",驱动复算!W17,F398*情景参数!C12)</f>
        <v>339.43462</v>
      </c>
      <c r="I398" s="4" t="n">
        <f aca="false">IF(情景参数!E12="原表",驱动复算!U17,G398+H398)</f>
        <v>10520.4747391783</v>
      </c>
      <c r="J398" s="4" t="n">
        <f aca="false">(F398-I398)*(1-情景参数!F12)</f>
        <v>6451.2562608217</v>
      </c>
      <c r="K398" s="4" t="n">
        <f aca="false">偿债原表!C18</f>
        <v>0</v>
      </c>
      <c r="L398" s="4" t="n">
        <f aca="false">偿债原表!D18</f>
        <v>644</v>
      </c>
      <c r="M398" s="4" t="n">
        <f aca="false">K398+L398</f>
        <v>644</v>
      </c>
      <c r="N398" s="4" t="n">
        <f aca="false">J398-M398</f>
        <v>5807.2562608217</v>
      </c>
      <c r="O398" s="4" t="n">
        <f aca="false">O397+N398</f>
        <v>24051.1252248784</v>
      </c>
      <c r="P398" s="4" t="n">
        <f aca="false">MAX(0,-(R397+N398))</f>
        <v>0</v>
      </c>
      <c r="Q398" s="4" t="n">
        <f aca="false">Q397+P398</f>
        <v>16597.80602</v>
      </c>
      <c r="R398" s="4" t="n">
        <f aca="false">O398+Q398</f>
        <v>40648.9312448784</v>
      </c>
    </row>
    <row r="399" customFormat="false" ht="15" hidden="false" customHeight="false" outlineLevel="0" collapsed="false">
      <c r="A399" s="2" t="s">
        <v>50</v>
      </c>
      <c r="B399" s="2" t="s">
        <v>39</v>
      </c>
      <c r="C399" s="12" t="n">
        <v>17</v>
      </c>
      <c r="D399" s="12" t="n">
        <v>2040</v>
      </c>
      <c r="E399" s="4" t="n">
        <f aca="false">INDEX(驱动复算!A18:X18,1,情景参数!B12)</f>
        <v>18189.64</v>
      </c>
      <c r="F399" s="4" t="n">
        <f aca="false">E399*(1-情景参数!D12)</f>
        <v>17280.158</v>
      </c>
      <c r="G399" s="4" t="n">
        <f aca="false">IF(情景参数!E12="原表",驱动复算!U18-驱动复算!W18,驱动复算!P18)</f>
        <v>10486.4713227536</v>
      </c>
      <c r="H399" s="4" t="n">
        <f aca="false">IF(情景参数!E12="原表",驱动复算!W18,F399*情景参数!C12)</f>
        <v>345.60316</v>
      </c>
      <c r="I399" s="4" t="n">
        <f aca="false">IF(情景参数!E12="原表",驱动复算!U18,G399+H399)</f>
        <v>10832.0744827537</v>
      </c>
      <c r="J399" s="4" t="n">
        <f aca="false">(F399-I399)*(1-情景参数!F12)</f>
        <v>6448.08351724635</v>
      </c>
      <c r="K399" s="4" t="n">
        <f aca="false">偿债原表!C19</f>
        <v>0</v>
      </c>
      <c r="L399" s="4" t="n">
        <f aca="false">偿债原表!D19</f>
        <v>644</v>
      </c>
      <c r="M399" s="4" t="n">
        <f aca="false">K399+L399</f>
        <v>644</v>
      </c>
      <c r="N399" s="4" t="n">
        <f aca="false">J399-M399</f>
        <v>5804.08351724635</v>
      </c>
      <c r="O399" s="4" t="n">
        <f aca="false">O398+N399</f>
        <v>29855.2087421248</v>
      </c>
      <c r="P399" s="4" t="n">
        <f aca="false">MAX(0,-(R398+N399))</f>
        <v>0</v>
      </c>
      <c r="Q399" s="4" t="n">
        <f aca="false">Q398+P399</f>
        <v>16597.80602</v>
      </c>
      <c r="R399" s="4" t="n">
        <f aca="false">O399+Q399</f>
        <v>46453.0147621248</v>
      </c>
    </row>
    <row r="400" customFormat="false" ht="15" hidden="false" customHeight="false" outlineLevel="0" collapsed="false">
      <c r="A400" s="2" t="s">
        <v>50</v>
      </c>
      <c r="B400" s="2" t="s">
        <v>39</v>
      </c>
      <c r="C400" s="12" t="n">
        <v>18</v>
      </c>
      <c r="D400" s="12" t="n">
        <v>2041</v>
      </c>
      <c r="E400" s="4" t="n">
        <f aca="false">INDEX(驱动复算!A19:X19,1,情景参数!B12)</f>
        <v>18520.8</v>
      </c>
      <c r="F400" s="4" t="n">
        <f aca="false">E400*(1-情景参数!D12)</f>
        <v>17594.76</v>
      </c>
      <c r="G400" s="4" t="n">
        <f aca="false">IF(情景参数!E12="原表",驱动复算!U19-驱动复算!W19,驱动复算!P19)</f>
        <v>10801.0654624363</v>
      </c>
      <c r="H400" s="4" t="n">
        <f aca="false">IF(情景参数!E12="原表",驱动复算!W19,F400*情景参数!C12)</f>
        <v>351.8952</v>
      </c>
      <c r="I400" s="4" t="n">
        <f aca="false">IF(情景参数!E12="原表",驱动复算!U19,G400+H400)</f>
        <v>11152.9606624363</v>
      </c>
      <c r="J400" s="4" t="n">
        <f aca="false">(F400-I400)*(1-情景参数!F12)</f>
        <v>6441.79933756374</v>
      </c>
      <c r="K400" s="4" t="n">
        <f aca="false">偿债原表!C20</f>
        <v>20000</v>
      </c>
      <c r="L400" s="4" t="n">
        <f aca="false">偿债原表!D20</f>
        <v>644</v>
      </c>
      <c r="M400" s="4" t="n">
        <f aca="false">K400+L400</f>
        <v>20644</v>
      </c>
      <c r="N400" s="4" t="n">
        <f aca="false">J400-M400</f>
        <v>-14202.2006624363</v>
      </c>
      <c r="O400" s="4" t="n">
        <f aca="false">O399+N400</f>
        <v>15653.0080796885</v>
      </c>
      <c r="P400" s="4" t="n">
        <f aca="false">MAX(0,-(R399+N400))</f>
        <v>0</v>
      </c>
      <c r="Q400" s="4" t="n">
        <f aca="false">Q399+P400</f>
        <v>16597.80602</v>
      </c>
      <c r="R400" s="4" t="n">
        <f aca="false">O400+Q400</f>
        <v>32250.8140996885</v>
      </c>
    </row>
    <row r="401" customFormat="false" ht="15" hidden="false" customHeight="false" outlineLevel="0" collapsed="false">
      <c r="A401" s="2" t="s">
        <v>50</v>
      </c>
      <c r="B401" s="2" t="s">
        <v>40</v>
      </c>
      <c r="C401" s="12" t="n">
        <v>0</v>
      </c>
      <c r="D401" s="13" t="s">
        <v>248</v>
      </c>
      <c r="E401" s="4" t="n">
        <f aca="false">0</f>
        <v>0</v>
      </c>
      <c r="F401" s="4" t="n">
        <f aca="false">E401*(1-情景参数!D12)</f>
        <v>0</v>
      </c>
      <c r="G401" s="4" t="n">
        <f aca="false">0</f>
        <v>0</v>
      </c>
      <c r="H401" s="4" t="n">
        <f aca="false">0</f>
        <v>0</v>
      </c>
      <c r="I401" s="4" t="n">
        <f aca="false">0</f>
        <v>0</v>
      </c>
      <c r="J401" s="4" t="n">
        <f aca="false">(F401-I401)*(1-情景参数!F12)</f>
        <v>0</v>
      </c>
      <c r="K401" s="4" t="n">
        <f aca="false">偿债原表!F2</f>
        <v>0</v>
      </c>
      <c r="L401" s="4" t="n">
        <f aca="false">偿债原表!G2</f>
        <v>1374.2</v>
      </c>
      <c r="M401" s="4" t="n">
        <f aca="false">K401+L401</f>
        <v>1374.2</v>
      </c>
      <c r="N401" s="4" t="n">
        <f aca="false">J401-M401</f>
        <v>-1374.2</v>
      </c>
      <c r="O401" s="4" t="n">
        <f aca="false">N401</f>
        <v>-1374.2</v>
      </c>
      <c r="P401" s="4" t="n">
        <f aca="false">MAX(0,-N401)</f>
        <v>1374.2</v>
      </c>
      <c r="Q401" s="4" t="n">
        <f aca="false">P401</f>
        <v>1374.2</v>
      </c>
      <c r="R401" s="4" t="n">
        <f aca="false">O401+Q401</f>
        <v>0</v>
      </c>
    </row>
    <row r="402" customFormat="false" ht="15" hidden="false" customHeight="false" outlineLevel="0" collapsed="false">
      <c r="A402" s="2" t="s">
        <v>50</v>
      </c>
      <c r="B402" s="2" t="s">
        <v>40</v>
      </c>
      <c r="C402" s="12" t="n">
        <v>1</v>
      </c>
      <c r="D402" s="12" t="n">
        <v>2024</v>
      </c>
      <c r="E402" s="4" t="n">
        <f aca="false">INDEX(驱动复算!A2:X2,1,情景参数!B12)</f>
        <v>0</v>
      </c>
      <c r="F402" s="4" t="n">
        <f aca="false">E402*(1-情景参数!D12)</f>
        <v>0</v>
      </c>
      <c r="G402" s="4" t="n">
        <f aca="false">IF(情景参数!E12="原表",驱动复算!U2-驱动复算!W2,驱动复算!P2)</f>
        <v>0</v>
      </c>
      <c r="H402" s="4" t="n">
        <f aca="false">IF(情景参数!E12="原表",驱动复算!W2,F402*情景参数!C12)</f>
        <v>0</v>
      </c>
      <c r="I402" s="4" t="n">
        <f aca="false">IF(情景参数!E12="原表",驱动复算!U2,G402+H402)</f>
        <v>0</v>
      </c>
      <c r="J402" s="4" t="n">
        <f aca="false">(F402-I402)*(1-情景参数!F12)</f>
        <v>0</v>
      </c>
      <c r="K402" s="4" t="n">
        <f aca="false">偿债原表!F3</f>
        <v>0</v>
      </c>
      <c r="L402" s="4" t="n">
        <f aca="false">偿债原表!G3</f>
        <v>1107.58</v>
      </c>
      <c r="M402" s="4" t="n">
        <f aca="false">K402+L402</f>
        <v>1107.58</v>
      </c>
      <c r="N402" s="4" t="n">
        <f aca="false">J402-M402</f>
        <v>-1107.58</v>
      </c>
      <c r="O402" s="4" t="n">
        <f aca="false">O401+N402</f>
        <v>-2481.78</v>
      </c>
      <c r="P402" s="4" t="n">
        <f aca="false">MAX(0,-(R401+N402))</f>
        <v>1107.58</v>
      </c>
      <c r="Q402" s="4" t="n">
        <f aca="false">Q401+P402</f>
        <v>2481.78</v>
      </c>
      <c r="R402" s="4" t="n">
        <f aca="false">O402+Q402</f>
        <v>0</v>
      </c>
    </row>
    <row r="403" customFormat="false" ht="15" hidden="false" customHeight="false" outlineLevel="0" collapsed="false">
      <c r="A403" s="2" t="s">
        <v>50</v>
      </c>
      <c r="B403" s="2" t="s">
        <v>40</v>
      </c>
      <c r="C403" s="12" t="n">
        <v>2</v>
      </c>
      <c r="D403" s="12" t="n">
        <v>2025</v>
      </c>
      <c r="E403" s="4" t="n">
        <f aca="false">INDEX(驱动复算!A3:X3,1,情景参数!B12)</f>
        <v>0</v>
      </c>
      <c r="F403" s="4" t="n">
        <f aca="false">E403*(1-情景参数!D12)</f>
        <v>0</v>
      </c>
      <c r="G403" s="4" t="n">
        <f aca="false">IF(情景参数!E12="原表",驱动复算!U3-驱动复算!W3,驱动复算!P3)</f>
        <v>0</v>
      </c>
      <c r="H403" s="4" t="n">
        <f aca="false">IF(情景参数!E12="原表",驱动复算!W3,F403*情景参数!C12)</f>
        <v>0</v>
      </c>
      <c r="I403" s="4" t="n">
        <f aca="false">IF(情景参数!E12="原表",驱动复算!U3,G403+H403)</f>
        <v>0</v>
      </c>
      <c r="J403" s="4" t="n">
        <f aca="false">(F403-I403)*(1-情景参数!F12)</f>
        <v>0</v>
      </c>
      <c r="K403" s="4" t="n">
        <f aca="false">偿债原表!F4</f>
        <v>0</v>
      </c>
      <c r="L403" s="4" t="n">
        <f aca="false">偿债原表!G4</f>
        <v>1107.58</v>
      </c>
      <c r="M403" s="4" t="n">
        <f aca="false">K403+L403</f>
        <v>1107.58</v>
      </c>
      <c r="N403" s="4" t="n">
        <f aca="false">J403-M403</f>
        <v>-1107.58</v>
      </c>
      <c r="O403" s="4" t="n">
        <f aca="false">O402+N403</f>
        <v>-3589.36</v>
      </c>
      <c r="P403" s="4" t="n">
        <f aca="false">MAX(0,-(R402+N403))</f>
        <v>1107.58</v>
      </c>
      <c r="Q403" s="4" t="n">
        <f aca="false">Q402+P403</f>
        <v>3589.36</v>
      </c>
      <c r="R403" s="4" t="n">
        <f aca="false">O403+Q403</f>
        <v>0</v>
      </c>
    </row>
    <row r="404" customFormat="false" ht="15" hidden="false" customHeight="false" outlineLevel="0" collapsed="false">
      <c r="A404" s="2" t="s">
        <v>50</v>
      </c>
      <c r="B404" s="2" t="s">
        <v>40</v>
      </c>
      <c r="C404" s="12" t="n">
        <v>3</v>
      </c>
      <c r="D404" s="12" t="n">
        <v>2026</v>
      </c>
      <c r="E404" s="4" t="n">
        <f aca="false">INDEX(驱动复算!A4:X4,1,情景参数!B12)</f>
        <v>0</v>
      </c>
      <c r="F404" s="4" t="n">
        <f aca="false">E404*(1-情景参数!D12)</f>
        <v>0</v>
      </c>
      <c r="G404" s="4" t="n">
        <f aca="false">IF(情景参数!E12="原表",驱动复算!U4-驱动复算!W4,驱动复算!P4)</f>
        <v>0</v>
      </c>
      <c r="H404" s="4" t="n">
        <f aca="false">IF(情景参数!E12="原表",驱动复算!W4,F404*情景参数!C12)</f>
        <v>0</v>
      </c>
      <c r="I404" s="4" t="n">
        <f aca="false">IF(情景参数!E12="原表",驱动复算!U4,G404+H404)</f>
        <v>0</v>
      </c>
      <c r="J404" s="4" t="n">
        <f aca="false">(F404-I404)*(1-情景参数!F12)</f>
        <v>0</v>
      </c>
      <c r="K404" s="4" t="n">
        <f aca="false">偿债原表!F5</f>
        <v>0</v>
      </c>
      <c r="L404" s="4" t="n">
        <f aca="false">偿债原表!G5</f>
        <v>1107.58</v>
      </c>
      <c r="M404" s="4" t="n">
        <f aca="false">K404+L404</f>
        <v>1107.58</v>
      </c>
      <c r="N404" s="4" t="n">
        <f aca="false">J404-M404</f>
        <v>-1107.58</v>
      </c>
      <c r="O404" s="4" t="n">
        <f aca="false">O403+N404</f>
        <v>-4696.94</v>
      </c>
      <c r="P404" s="4" t="n">
        <f aca="false">MAX(0,-(R403+N404))</f>
        <v>1107.58</v>
      </c>
      <c r="Q404" s="4" t="n">
        <f aca="false">Q403+P404</f>
        <v>4696.94</v>
      </c>
      <c r="R404" s="4" t="n">
        <f aca="false">O404+Q404</f>
        <v>0</v>
      </c>
    </row>
    <row r="405" customFormat="false" ht="15" hidden="false" customHeight="false" outlineLevel="0" collapsed="false">
      <c r="A405" s="2" t="s">
        <v>50</v>
      </c>
      <c r="B405" s="2" t="s">
        <v>40</v>
      </c>
      <c r="C405" s="12" t="n">
        <v>4</v>
      </c>
      <c r="D405" s="12" t="n">
        <v>2027</v>
      </c>
      <c r="E405" s="4" t="n">
        <f aca="false">INDEX(驱动复算!A5:X5,1,情景参数!B12)</f>
        <v>0</v>
      </c>
      <c r="F405" s="4" t="n">
        <f aca="false">E405*(1-情景参数!D12)</f>
        <v>0</v>
      </c>
      <c r="G405" s="4" t="n">
        <f aca="false">IF(情景参数!E12="原表",驱动复算!U5-驱动复算!W5,驱动复算!P5)</f>
        <v>0</v>
      </c>
      <c r="H405" s="4" t="n">
        <f aca="false">IF(情景参数!E12="原表",驱动复算!W5,F405*情景参数!C12)</f>
        <v>0</v>
      </c>
      <c r="I405" s="4" t="n">
        <f aca="false">IF(情景参数!E12="原表",驱动复算!U5,G405+H405)</f>
        <v>0</v>
      </c>
      <c r="J405" s="4" t="n">
        <f aca="false">(F405-I405)*(1-情景参数!F12)</f>
        <v>0</v>
      </c>
      <c r="K405" s="4" t="n">
        <f aca="false">偿债原表!F6</f>
        <v>0</v>
      </c>
      <c r="L405" s="4" t="n">
        <f aca="false">偿债原表!G6</f>
        <v>1107.58</v>
      </c>
      <c r="M405" s="4" t="n">
        <f aca="false">K405+L405</f>
        <v>1107.58</v>
      </c>
      <c r="N405" s="4" t="n">
        <f aca="false">J405-M405</f>
        <v>-1107.58</v>
      </c>
      <c r="O405" s="4" t="n">
        <f aca="false">O404+N405</f>
        <v>-5804.52</v>
      </c>
      <c r="P405" s="4" t="n">
        <f aca="false">MAX(0,-(R404+N405))</f>
        <v>1107.58</v>
      </c>
      <c r="Q405" s="4" t="n">
        <f aca="false">Q404+P405</f>
        <v>5804.52</v>
      </c>
      <c r="R405" s="4" t="n">
        <f aca="false">O405+Q405</f>
        <v>0</v>
      </c>
    </row>
    <row r="406" customFormat="false" ht="15" hidden="false" customHeight="false" outlineLevel="0" collapsed="false">
      <c r="A406" s="2" t="s">
        <v>50</v>
      </c>
      <c r="B406" s="2" t="s">
        <v>40</v>
      </c>
      <c r="C406" s="12" t="n">
        <v>5</v>
      </c>
      <c r="D406" s="12" t="n">
        <v>2028</v>
      </c>
      <c r="E406" s="4" t="n">
        <f aca="false">INDEX(驱动复算!A6:X6,1,情景参数!B12)</f>
        <v>9234.58</v>
      </c>
      <c r="F406" s="4" t="n">
        <f aca="false">E406*(1-情景参数!D12)</f>
        <v>8772.851</v>
      </c>
      <c r="G406" s="4" t="n">
        <f aca="false">IF(情景参数!E12="原表",驱动复算!U6-驱动复算!W6,驱动复算!P6)</f>
        <v>7355</v>
      </c>
      <c r="H406" s="4" t="n">
        <f aca="false">IF(情景参数!E12="原表",驱动复算!W6,F406*情景参数!C12)</f>
        <v>175.45702</v>
      </c>
      <c r="I406" s="4" t="n">
        <f aca="false">IF(情景参数!E12="原表",驱动复算!U6,G406+H406)</f>
        <v>7530.45702</v>
      </c>
      <c r="J406" s="4" t="n">
        <f aca="false">(F406-I406)*(1-情景参数!F12)</f>
        <v>1242.39398</v>
      </c>
      <c r="K406" s="4" t="n">
        <f aca="false">偿债原表!F7</f>
        <v>1400</v>
      </c>
      <c r="L406" s="4" t="n">
        <f aca="false">偿债原表!G7</f>
        <v>1107.58</v>
      </c>
      <c r="M406" s="4" t="n">
        <f aca="false">K406+L406</f>
        <v>2507.58</v>
      </c>
      <c r="N406" s="4" t="n">
        <f aca="false">J406-M406</f>
        <v>-1265.18602</v>
      </c>
      <c r="O406" s="4" t="n">
        <f aca="false">O405+N406</f>
        <v>-7069.70602</v>
      </c>
      <c r="P406" s="4" t="n">
        <f aca="false">MAX(0,-(R405+N406))</f>
        <v>1265.18602</v>
      </c>
      <c r="Q406" s="4" t="n">
        <f aca="false">Q405+P406</f>
        <v>7069.70602</v>
      </c>
      <c r="R406" s="4" t="n">
        <f aca="false">O406+Q406</f>
        <v>0</v>
      </c>
    </row>
    <row r="407" customFormat="false" ht="15" hidden="false" customHeight="false" outlineLevel="0" collapsed="false">
      <c r="A407" s="2" t="s">
        <v>50</v>
      </c>
      <c r="B407" s="2" t="s">
        <v>40</v>
      </c>
      <c r="C407" s="12" t="n">
        <v>6</v>
      </c>
      <c r="D407" s="12" t="n">
        <v>2029</v>
      </c>
      <c r="E407" s="4" t="n">
        <f aca="false">INDEX(驱动复算!A7:X7,1,情景参数!B12)</f>
        <v>10123.19</v>
      </c>
      <c r="F407" s="4" t="n">
        <f aca="false">E407*(1-情景参数!D12)</f>
        <v>9617.0305</v>
      </c>
      <c r="G407" s="4" t="n">
        <f aca="false">IF(情景参数!E12="原表",驱动复算!U7-驱动复算!W7,驱动复算!P7)</f>
        <v>7575.65</v>
      </c>
      <c r="H407" s="4" t="n">
        <f aca="false">IF(情景参数!E12="原表",驱动复算!W7,F407*情景参数!C12)</f>
        <v>192.34061</v>
      </c>
      <c r="I407" s="4" t="n">
        <f aca="false">IF(情景参数!E12="原表",驱动复算!U7,G407+H407)</f>
        <v>7767.99061</v>
      </c>
      <c r="J407" s="4" t="n">
        <f aca="false">(F407-I407)*(1-情景参数!F12)</f>
        <v>1849.03989</v>
      </c>
      <c r="K407" s="4" t="n">
        <f aca="false">偿债原表!F8</f>
        <v>0</v>
      </c>
      <c r="L407" s="4" t="n">
        <f aca="false">偿债原表!G8</f>
        <v>1075.8</v>
      </c>
      <c r="M407" s="4" t="n">
        <f aca="false">K407+L407</f>
        <v>1075.8</v>
      </c>
      <c r="N407" s="4" t="n">
        <f aca="false">J407-M407</f>
        <v>773.23989</v>
      </c>
      <c r="O407" s="4" t="n">
        <f aca="false">O406+N407</f>
        <v>-6296.46613</v>
      </c>
      <c r="P407" s="4" t="n">
        <f aca="false">MAX(0,-(R406+N407))</f>
        <v>0</v>
      </c>
      <c r="Q407" s="4" t="n">
        <f aca="false">Q406+P407</f>
        <v>7069.70602</v>
      </c>
      <c r="R407" s="4" t="n">
        <f aca="false">O407+Q407</f>
        <v>773.23989</v>
      </c>
    </row>
    <row r="408" customFormat="false" ht="15" hidden="false" customHeight="false" outlineLevel="0" collapsed="false">
      <c r="A408" s="2" t="s">
        <v>50</v>
      </c>
      <c r="B408" s="2" t="s">
        <v>40</v>
      </c>
      <c r="C408" s="12" t="n">
        <v>7</v>
      </c>
      <c r="D408" s="12" t="n">
        <v>2030</v>
      </c>
      <c r="E408" s="4" t="n">
        <f aca="false">INDEX(驱动复算!A8:X8,1,情景参数!B12)</f>
        <v>11041.69</v>
      </c>
      <c r="F408" s="4" t="n">
        <f aca="false">E408*(1-情景参数!D12)</f>
        <v>10489.6055</v>
      </c>
      <c r="G408" s="4" t="n">
        <f aca="false">IF(情景参数!E12="原表",驱动复算!U8-驱动复算!W8,驱动复算!P8)</f>
        <v>7802.9195</v>
      </c>
      <c r="H408" s="4" t="n">
        <f aca="false">IF(情景参数!E12="原表",驱动复算!W8,F408*情景参数!C12)</f>
        <v>209.79211</v>
      </c>
      <c r="I408" s="4" t="n">
        <f aca="false">IF(情景参数!E12="原表",驱动复算!U8,G408+H408)</f>
        <v>8012.71161</v>
      </c>
      <c r="J408" s="4" t="n">
        <f aca="false">(F408-I408)*(1-情景参数!F12)</f>
        <v>2476.89389</v>
      </c>
      <c r="K408" s="4" t="n">
        <f aca="false">偿债原表!F9</f>
        <v>0</v>
      </c>
      <c r="L408" s="4" t="n">
        <f aca="false">偿债原表!G9</f>
        <v>1075.8</v>
      </c>
      <c r="M408" s="4" t="n">
        <f aca="false">K408+L408</f>
        <v>1075.8</v>
      </c>
      <c r="N408" s="4" t="n">
        <f aca="false">J408-M408</f>
        <v>1401.09389</v>
      </c>
      <c r="O408" s="4" t="n">
        <f aca="false">O407+N408</f>
        <v>-4895.37224</v>
      </c>
      <c r="P408" s="4" t="n">
        <f aca="false">MAX(0,-(R407+N408))</f>
        <v>0</v>
      </c>
      <c r="Q408" s="4" t="n">
        <f aca="false">Q407+P408</f>
        <v>7069.70602</v>
      </c>
      <c r="R408" s="4" t="n">
        <f aca="false">O408+Q408</f>
        <v>2174.33378</v>
      </c>
    </row>
    <row r="409" customFormat="false" ht="15" hidden="false" customHeight="false" outlineLevel="0" collapsed="false">
      <c r="A409" s="2" t="s">
        <v>50</v>
      </c>
      <c r="B409" s="2" t="s">
        <v>40</v>
      </c>
      <c r="C409" s="12" t="n">
        <v>8</v>
      </c>
      <c r="D409" s="12" t="n">
        <v>2031</v>
      </c>
      <c r="E409" s="4" t="n">
        <f aca="false">INDEX(驱动复算!A9:X9,1,情景参数!B12)</f>
        <v>12052.04</v>
      </c>
      <c r="F409" s="4" t="n">
        <f aca="false">E409*(1-情景参数!D12)</f>
        <v>11449.438</v>
      </c>
      <c r="G409" s="4" t="n">
        <f aca="false">IF(情景参数!E12="原表",驱动复算!U9-驱动复算!W9,驱动复算!P9)</f>
        <v>8037.007085</v>
      </c>
      <c r="H409" s="4" t="n">
        <f aca="false">IF(情景参数!E12="原表",驱动复算!W9,F409*情景参数!C12)</f>
        <v>228.98876</v>
      </c>
      <c r="I409" s="4" t="n">
        <f aca="false">IF(情景参数!E12="原表",驱动复算!U9,G409+H409)</f>
        <v>8265.995845</v>
      </c>
      <c r="J409" s="4" t="n">
        <f aca="false">(F409-I409)*(1-情景参数!F12)</f>
        <v>3183.442155</v>
      </c>
      <c r="K409" s="4" t="n">
        <f aca="false">偿债原表!F10</f>
        <v>0</v>
      </c>
      <c r="L409" s="4" t="n">
        <f aca="false">偿债原表!G10</f>
        <v>1075.8</v>
      </c>
      <c r="M409" s="4" t="n">
        <f aca="false">K409+L409</f>
        <v>1075.8</v>
      </c>
      <c r="N409" s="4" t="n">
        <f aca="false">J409-M409</f>
        <v>2107.642155</v>
      </c>
      <c r="O409" s="4" t="n">
        <f aca="false">O408+N409</f>
        <v>-2787.730085</v>
      </c>
      <c r="P409" s="4" t="n">
        <f aca="false">MAX(0,-(R408+N409))</f>
        <v>0</v>
      </c>
      <c r="Q409" s="4" t="n">
        <f aca="false">Q408+P409</f>
        <v>7069.70602</v>
      </c>
      <c r="R409" s="4" t="n">
        <f aca="false">O409+Q409</f>
        <v>4281.975935</v>
      </c>
    </row>
    <row r="410" customFormat="false" ht="15" hidden="false" customHeight="false" outlineLevel="0" collapsed="false">
      <c r="A410" s="2" t="s">
        <v>50</v>
      </c>
      <c r="B410" s="2" t="s">
        <v>40</v>
      </c>
      <c r="C410" s="12" t="n">
        <v>9</v>
      </c>
      <c r="D410" s="12" t="n">
        <v>2032</v>
      </c>
      <c r="E410" s="4" t="n">
        <f aca="false">INDEX(驱动复算!A10:X10,1,情景参数!B12)</f>
        <v>13163.43</v>
      </c>
      <c r="F410" s="4" t="n">
        <f aca="false">E410*(1-情景参数!D12)</f>
        <v>12505.2585</v>
      </c>
      <c r="G410" s="4" t="n">
        <f aca="false">IF(情景参数!E12="原表",驱动复算!U10-驱动复算!W10,驱动复算!P10)</f>
        <v>8278.11729755</v>
      </c>
      <c r="H410" s="4" t="n">
        <f aca="false">IF(情景参数!E12="原表",驱动复算!W10,F410*情景参数!C12)</f>
        <v>250.10517</v>
      </c>
      <c r="I410" s="4" t="n">
        <f aca="false">IF(情景参数!E12="原表",驱动复算!U10,G410+H410)</f>
        <v>8528.22246755</v>
      </c>
      <c r="J410" s="4" t="n">
        <f aca="false">(F410-I410)*(1-情景参数!F12)</f>
        <v>3977.03603245</v>
      </c>
      <c r="K410" s="4" t="n">
        <f aca="false">偿债原表!F11</f>
        <v>2000</v>
      </c>
      <c r="L410" s="4" t="n">
        <f aca="false">偿债原表!G11</f>
        <v>1075.8</v>
      </c>
      <c r="M410" s="4" t="n">
        <f aca="false">K410+L410</f>
        <v>3075.8</v>
      </c>
      <c r="N410" s="4" t="n">
        <f aca="false">J410-M410</f>
        <v>901.236032449998</v>
      </c>
      <c r="O410" s="4" t="n">
        <f aca="false">O409+N410</f>
        <v>-1886.49405255</v>
      </c>
      <c r="P410" s="4" t="n">
        <f aca="false">MAX(0,-(R409+N410))</f>
        <v>0</v>
      </c>
      <c r="Q410" s="4" t="n">
        <f aca="false">Q409+P410</f>
        <v>7069.70602</v>
      </c>
      <c r="R410" s="4" t="n">
        <f aca="false">O410+Q410</f>
        <v>5183.21196745</v>
      </c>
    </row>
    <row r="411" customFormat="false" ht="15" hidden="false" customHeight="false" outlineLevel="0" collapsed="false">
      <c r="A411" s="2" t="s">
        <v>50</v>
      </c>
      <c r="B411" s="2" t="s">
        <v>40</v>
      </c>
      <c r="C411" s="12" t="n">
        <v>10</v>
      </c>
      <c r="D411" s="12" t="n">
        <v>2033</v>
      </c>
      <c r="E411" s="4" t="n">
        <f aca="false">INDEX(驱动复算!A11:X11,1,情景参数!B12)</f>
        <v>14139.86</v>
      </c>
      <c r="F411" s="4" t="n">
        <f aca="false">E411*(1-情景参数!D12)</f>
        <v>13432.867</v>
      </c>
      <c r="G411" s="4" t="n">
        <f aca="false">IF(情景参数!E12="原表",驱动复算!U11-驱动复算!W11,驱动复算!P11)</f>
        <v>8526.4608164765</v>
      </c>
      <c r="H411" s="4" t="n">
        <f aca="false">IF(情景参数!E12="原表",驱动复算!W11,F411*情景参数!C12)</f>
        <v>268.65734</v>
      </c>
      <c r="I411" s="4" t="n">
        <f aca="false">IF(情景参数!E12="原表",驱动复算!U11,G411+H411)</f>
        <v>8795.1181564765</v>
      </c>
      <c r="J411" s="4" t="n">
        <f aca="false">(F411-I411)*(1-情景参数!F12)</f>
        <v>4637.7488435235</v>
      </c>
      <c r="K411" s="4" t="n">
        <f aca="false">偿债原表!F12</f>
        <v>9600</v>
      </c>
      <c r="L411" s="4" t="n">
        <f aca="false">偿债原表!G12</f>
        <v>1018.8</v>
      </c>
      <c r="M411" s="4" t="n">
        <f aca="false">K411+L411</f>
        <v>10618.8</v>
      </c>
      <c r="N411" s="4" t="n">
        <f aca="false">J411-M411</f>
        <v>-5981.0511564765</v>
      </c>
      <c r="O411" s="4" t="n">
        <f aca="false">O410+N411</f>
        <v>-7867.5452090265</v>
      </c>
      <c r="P411" s="4" t="n">
        <f aca="false">MAX(0,-(R410+N411))</f>
        <v>797.839189026503</v>
      </c>
      <c r="Q411" s="4" t="n">
        <f aca="false">Q410+P411</f>
        <v>7867.5452090265</v>
      </c>
      <c r="R411" s="4" t="n">
        <f aca="false">O411+Q411</f>
        <v>0</v>
      </c>
    </row>
    <row r="412" customFormat="false" ht="15" hidden="false" customHeight="false" outlineLevel="0" collapsed="false">
      <c r="A412" s="2" t="s">
        <v>50</v>
      </c>
      <c r="B412" s="2" t="s">
        <v>40</v>
      </c>
      <c r="C412" s="12" t="n">
        <v>11</v>
      </c>
      <c r="D412" s="12" t="n">
        <v>2034</v>
      </c>
      <c r="E412" s="4" t="n">
        <f aca="false">INDEX(驱动复算!A12:X12,1,情景参数!B12)</f>
        <v>14781.69</v>
      </c>
      <c r="F412" s="4" t="n">
        <f aca="false">E412*(1-情景参数!D12)</f>
        <v>14042.6055</v>
      </c>
      <c r="G412" s="4" t="n">
        <f aca="false">IF(情景参数!E12="原表",驱动复算!U12-驱动复算!W12,驱动复算!P12)</f>
        <v>8782.2546409708</v>
      </c>
      <c r="H412" s="4" t="n">
        <f aca="false">IF(情景参数!E12="原表",驱动复算!W12,F412*情景参数!C12)</f>
        <v>280.85211</v>
      </c>
      <c r="I412" s="4" t="n">
        <f aca="false">IF(情景参数!E12="原表",驱动复算!U12,G412+H412)</f>
        <v>9063.1067509708</v>
      </c>
      <c r="J412" s="4" t="n">
        <f aca="false">(F412-I412)*(1-情景参数!F12)</f>
        <v>4979.4987490292</v>
      </c>
      <c r="K412" s="4" t="n">
        <f aca="false">偿债原表!F13</f>
        <v>0</v>
      </c>
      <c r="L412" s="4" t="n">
        <f aca="false">偿债原表!G13</f>
        <v>673.2</v>
      </c>
      <c r="M412" s="4" t="n">
        <f aca="false">K412+L412</f>
        <v>673.2</v>
      </c>
      <c r="N412" s="4" t="n">
        <f aca="false">J412-M412</f>
        <v>4306.2987490292</v>
      </c>
      <c r="O412" s="4" t="n">
        <f aca="false">O411+N412</f>
        <v>-3561.2464599973</v>
      </c>
      <c r="P412" s="4" t="n">
        <f aca="false">MAX(0,-(R411+N412))</f>
        <v>0</v>
      </c>
      <c r="Q412" s="4" t="n">
        <f aca="false">Q411+P412</f>
        <v>7867.5452090265</v>
      </c>
      <c r="R412" s="4" t="n">
        <f aca="false">O412+Q412</f>
        <v>4306.2987490292</v>
      </c>
    </row>
    <row r="413" customFormat="false" ht="15" hidden="false" customHeight="false" outlineLevel="0" collapsed="false">
      <c r="A413" s="2" t="s">
        <v>50</v>
      </c>
      <c r="B413" s="2" t="s">
        <v>40</v>
      </c>
      <c r="C413" s="12" t="n">
        <v>12</v>
      </c>
      <c r="D413" s="12" t="n">
        <v>2035</v>
      </c>
      <c r="E413" s="4" t="n">
        <f aca="false">INDEX(驱动复算!A13:X13,1,情景参数!B12)</f>
        <v>15455.6</v>
      </c>
      <c r="F413" s="4" t="n">
        <f aca="false">E413*(1-情景参数!D12)</f>
        <v>14682.82</v>
      </c>
      <c r="G413" s="4" t="n">
        <f aca="false">IF(情景参数!E12="原表",驱动复算!U13-驱动复算!W13,驱动复算!P13)</f>
        <v>9045.72228019992</v>
      </c>
      <c r="H413" s="4" t="n">
        <f aca="false">IF(情景参数!E12="原表",驱动复算!W13,F413*情景参数!C12)</f>
        <v>293.6564</v>
      </c>
      <c r="I413" s="4" t="n">
        <f aca="false">IF(情景参数!E12="原表",驱动复算!U13,G413+H413)</f>
        <v>9339.37868019992</v>
      </c>
      <c r="J413" s="4" t="n">
        <f aca="false">(F413-I413)*(1-情景参数!F12)</f>
        <v>5343.44131980008</v>
      </c>
      <c r="K413" s="4" t="n">
        <f aca="false">偿债原表!F14</f>
        <v>0</v>
      </c>
      <c r="L413" s="4" t="n">
        <f aca="false">偿债原表!G14</f>
        <v>673.2</v>
      </c>
      <c r="M413" s="4" t="n">
        <f aca="false">K413+L413</f>
        <v>673.2</v>
      </c>
      <c r="N413" s="4" t="n">
        <f aca="false">J413-M413</f>
        <v>4670.24131980008</v>
      </c>
      <c r="O413" s="4" t="n">
        <f aca="false">O412+N413</f>
        <v>1108.99485980278</v>
      </c>
      <c r="P413" s="4" t="n">
        <f aca="false">MAX(0,-(R412+N413))</f>
        <v>0</v>
      </c>
      <c r="Q413" s="4" t="n">
        <f aca="false">Q412+P413</f>
        <v>7867.5452090265</v>
      </c>
      <c r="R413" s="4" t="n">
        <f aca="false">O413+Q413</f>
        <v>8976.54006882929</v>
      </c>
    </row>
    <row r="414" customFormat="false" ht="15" hidden="false" customHeight="false" outlineLevel="0" collapsed="false">
      <c r="A414" s="2" t="s">
        <v>50</v>
      </c>
      <c r="B414" s="2" t="s">
        <v>40</v>
      </c>
      <c r="C414" s="12" t="n">
        <v>13</v>
      </c>
      <c r="D414" s="12" t="n">
        <v>2036</v>
      </c>
      <c r="E414" s="4" t="n">
        <f aca="false">INDEX(驱动复算!A14:X14,1,情景参数!B12)</f>
        <v>16163.21</v>
      </c>
      <c r="F414" s="4" t="n">
        <f aca="false">E414*(1-情景参数!D12)</f>
        <v>15355.0495</v>
      </c>
      <c r="G414" s="4" t="n">
        <f aca="false">IF(情景参数!E12="原表",驱动复算!U14-驱动复算!W14,驱动复算!P14)</f>
        <v>9317.09394860592</v>
      </c>
      <c r="H414" s="4" t="n">
        <f aca="false">IF(情景参数!E12="原表",驱动复算!W14,F414*情景参数!C12)</f>
        <v>307.10099</v>
      </c>
      <c r="I414" s="4" t="n">
        <f aca="false">IF(情景参数!E12="原表",驱动复算!U14,G414+H414)</f>
        <v>9624.19493860592</v>
      </c>
      <c r="J414" s="4" t="n">
        <f aca="false">(F414-I414)*(1-情景参数!F12)</f>
        <v>5730.85456139408</v>
      </c>
      <c r="K414" s="4" t="n">
        <f aca="false">偿债原表!F15</f>
        <v>0</v>
      </c>
      <c r="L414" s="4" t="n">
        <f aca="false">偿债原表!G15</f>
        <v>673.2</v>
      </c>
      <c r="M414" s="4" t="n">
        <f aca="false">K414+L414</f>
        <v>673.2</v>
      </c>
      <c r="N414" s="4" t="n">
        <f aca="false">J414-M414</f>
        <v>5057.65456139408</v>
      </c>
      <c r="O414" s="4" t="n">
        <f aca="false">O413+N414</f>
        <v>6166.64942119686</v>
      </c>
      <c r="P414" s="4" t="n">
        <f aca="false">MAX(0,-(R413+N414))</f>
        <v>0</v>
      </c>
      <c r="Q414" s="4" t="n">
        <f aca="false">Q413+P414</f>
        <v>7867.5452090265</v>
      </c>
      <c r="R414" s="4" t="n">
        <f aca="false">O414+Q414</f>
        <v>14034.1946302234</v>
      </c>
    </row>
    <row r="415" customFormat="false" ht="15" hidden="false" customHeight="false" outlineLevel="0" collapsed="false">
      <c r="A415" s="2" t="s">
        <v>50</v>
      </c>
      <c r="B415" s="2" t="s">
        <v>40</v>
      </c>
      <c r="C415" s="12" t="n">
        <v>14</v>
      </c>
      <c r="D415" s="12" t="n">
        <v>2037</v>
      </c>
      <c r="E415" s="4" t="n">
        <f aca="false">INDEX(驱动复算!A15:X15,1,情景参数!B12)</f>
        <v>16906.2</v>
      </c>
      <c r="F415" s="4" t="n">
        <f aca="false">E415*(1-情景参数!D12)</f>
        <v>16060.89</v>
      </c>
      <c r="G415" s="4" t="n">
        <f aca="false">IF(情景参数!E12="原表",驱动复算!U15-驱动复算!W15,驱动复算!P15)</f>
        <v>9596.6067670641</v>
      </c>
      <c r="H415" s="4" t="n">
        <f aca="false">IF(情景参数!E12="原表",驱动复算!W15,F415*情景参数!C12)</f>
        <v>321.2178</v>
      </c>
      <c r="I415" s="4" t="n">
        <f aca="false">IF(情景参数!E12="原表",驱动复算!U15,G415+H415)</f>
        <v>9917.8245670641</v>
      </c>
      <c r="J415" s="4" t="n">
        <f aca="false">(F415-I415)*(1-情景参数!F12)</f>
        <v>6143.0654329359</v>
      </c>
      <c r="K415" s="4" t="n">
        <f aca="false">偿债原表!F16</f>
        <v>1000</v>
      </c>
      <c r="L415" s="4" t="n">
        <f aca="false">偿债原表!G16</f>
        <v>673.2</v>
      </c>
      <c r="M415" s="4" t="n">
        <f aca="false">K415+L415</f>
        <v>1673.2</v>
      </c>
      <c r="N415" s="4" t="n">
        <f aca="false">J415-M415</f>
        <v>4469.8654329359</v>
      </c>
      <c r="O415" s="4" t="n">
        <f aca="false">O414+N415</f>
        <v>10636.5148541328</v>
      </c>
      <c r="P415" s="4" t="n">
        <f aca="false">MAX(0,-(R414+N415))</f>
        <v>0</v>
      </c>
      <c r="Q415" s="4" t="n">
        <f aca="false">Q414+P415</f>
        <v>7867.5452090265</v>
      </c>
      <c r="R415" s="4" t="n">
        <f aca="false">O415+Q415</f>
        <v>18504.0600631593</v>
      </c>
    </row>
    <row r="416" customFormat="false" ht="15" hidden="false" customHeight="false" outlineLevel="0" collapsed="false">
      <c r="A416" s="2" t="s">
        <v>50</v>
      </c>
      <c r="B416" s="2" t="s">
        <v>40</v>
      </c>
      <c r="C416" s="12" t="n">
        <v>15</v>
      </c>
      <c r="D416" s="12" t="n">
        <v>2038</v>
      </c>
      <c r="E416" s="4" t="n">
        <f aca="false">INDEX(驱动复算!A16:X16,1,情景参数!B12)</f>
        <v>17546.68</v>
      </c>
      <c r="F416" s="4" t="n">
        <f aca="false">E416*(1-情景参数!D12)</f>
        <v>16669.346</v>
      </c>
      <c r="G416" s="4" t="n">
        <f aca="false">IF(情景参数!E12="原表",驱动复算!U16-驱动复算!W16,驱动复算!P16)</f>
        <v>9884.50497007602</v>
      </c>
      <c r="H416" s="4" t="n">
        <f aca="false">IF(情景参数!E12="原表",驱动复算!W16,F416*情景参数!C12)</f>
        <v>333.38692</v>
      </c>
      <c r="I416" s="4" t="n">
        <f aca="false">IF(情景参数!E12="原表",驱动复算!U16,G416+H416)</f>
        <v>10217.891890076</v>
      </c>
      <c r="J416" s="4" t="n">
        <f aca="false">(F416-I416)*(1-情景参数!F12)</f>
        <v>6451.45410992398</v>
      </c>
      <c r="K416" s="4" t="n">
        <f aca="false">偿债原表!F17</f>
        <v>0</v>
      </c>
      <c r="L416" s="4" t="n">
        <f aca="false">偿债原表!G17</f>
        <v>644</v>
      </c>
      <c r="M416" s="4" t="n">
        <f aca="false">K416+L416</f>
        <v>644</v>
      </c>
      <c r="N416" s="4" t="n">
        <f aca="false">J416-M416</f>
        <v>5807.45410992398</v>
      </c>
      <c r="O416" s="4" t="n">
        <f aca="false">O415+N416</f>
        <v>16443.9689640567</v>
      </c>
      <c r="P416" s="4" t="n">
        <f aca="false">MAX(0,-(R415+N416))</f>
        <v>0</v>
      </c>
      <c r="Q416" s="4" t="n">
        <f aca="false">Q415+P416</f>
        <v>7867.5452090265</v>
      </c>
      <c r="R416" s="4" t="n">
        <f aca="false">O416+Q416</f>
        <v>24311.5141730832</v>
      </c>
    </row>
    <row r="417" customFormat="false" ht="15" hidden="false" customHeight="false" outlineLevel="0" collapsed="false">
      <c r="A417" s="2" t="s">
        <v>50</v>
      </c>
      <c r="B417" s="2" t="s">
        <v>40</v>
      </c>
      <c r="C417" s="12" t="n">
        <v>16</v>
      </c>
      <c r="D417" s="12" t="n">
        <v>2039</v>
      </c>
      <c r="E417" s="4" t="n">
        <f aca="false">INDEX(驱动复算!A17:X17,1,情景参数!B12)</f>
        <v>17864.98</v>
      </c>
      <c r="F417" s="4" t="n">
        <f aca="false">E417*(1-情景参数!D12)</f>
        <v>16971.731</v>
      </c>
      <c r="G417" s="4" t="n">
        <f aca="false">IF(情景参数!E12="原表",驱动复算!U17-驱动复算!W17,驱动复算!P17)</f>
        <v>10181.0401191783</v>
      </c>
      <c r="H417" s="4" t="n">
        <f aca="false">IF(情景参数!E12="原表",驱动复算!W17,F417*情景参数!C12)</f>
        <v>339.43462</v>
      </c>
      <c r="I417" s="4" t="n">
        <f aca="false">IF(情景参数!E12="原表",驱动复算!U17,G417+H417)</f>
        <v>10520.4747391783</v>
      </c>
      <c r="J417" s="4" t="n">
        <f aca="false">(F417-I417)*(1-情景参数!F12)</f>
        <v>6451.2562608217</v>
      </c>
      <c r="K417" s="4" t="n">
        <f aca="false">偿债原表!F18</f>
        <v>0</v>
      </c>
      <c r="L417" s="4" t="n">
        <f aca="false">偿债原表!G18</f>
        <v>644</v>
      </c>
      <c r="M417" s="4" t="n">
        <f aca="false">K417+L417</f>
        <v>644</v>
      </c>
      <c r="N417" s="4" t="n">
        <f aca="false">J417-M417</f>
        <v>5807.2562608217</v>
      </c>
      <c r="O417" s="4" t="n">
        <f aca="false">O416+N417</f>
        <v>22251.2252248784</v>
      </c>
      <c r="P417" s="4" t="n">
        <f aca="false">MAX(0,-(R416+N417))</f>
        <v>0</v>
      </c>
      <c r="Q417" s="4" t="n">
        <f aca="false">Q416+P417</f>
        <v>7867.5452090265</v>
      </c>
      <c r="R417" s="4" t="n">
        <f aca="false">O417+Q417</f>
        <v>30118.7704339049</v>
      </c>
    </row>
    <row r="418" customFormat="false" ht="15" hidden="false" customHeight="false" outlineLevel="0" collapsed="false">
      <c r="A418" s="2" t="s">
        <v>50</v>
      </c>
      <c r="B418" s="2" t="s">
        <v>40</v>
      </c>
      <c r="C418" s="12" t="n">
        <v>17</v>
      </c>
      <c r="D418" s="12" t="n">
        <v>2040</v>
      </c>
      <c r="E418" s="4" t="n">
        <f aca="false">INDEX(驱动复算!A18:X18,1,情景参数!B12)</f>
        <v>18189.64</v>
      </c>
      <c r="F418" s="4" t="n">
        <f aca="false">E418*(1-情景参数!D12)</f>
        <v>17280.158</v>
      </c>
      <c r="G418" s="4" t="n">
        <f aca="false">IF(情景参数!E12="原表",驱动复算!U18-驱动复算!W18,驱动复算!P18)</f>
        <v>10486.4713227536</v>
      </c>
      <c r="H418" s="4" t="n">
        <f aca="false">IF(情景参数!E12="原表",驱动复算!W18,F418*情景参数!C12)</f>
        <v>345.60316</v>
      </c>
      <c r="I418" s="4" t="n">
        <f aca="false">IF(情景参数!E12="原表",驱动复算!U18,G418+H418)</f>
        <v>10832.0744827537</v>
      </c>
      <c r="J418" s="4" t="n">
        <f aca="false">(F418-I418)*(1-情景参数!F12)</f>
        <v>6448.08351724635</v>
      </c>
      <c r="K418" s="4" t="n">
        <f aca="false">偿债原表!F19</f>
        <v>0</v>
      </c>
      <c r="L418" s="4" t="n">
        <f aca="false">偿债原表!G19</f>
        <v>644</v>
      </c>
      <c r="M418" s="4" t="n">
        <f aca="false">K418+L418</f>
        <v>644</v>
      </c>
      <c r="N418" s="4" t="n">
        <f aca="false">J418-M418</f>
        <v>5804.08351724635</v>
      </c>
      <c r="O418" s="4" t="n">
        <f aca="false">O417+N418</f>
        <v>28055.3087421248</v>
      </c>
      <c r="P418" s="4" t="n">
        <f aca="false">MAX(0,-(R417+N418))</f>
        <v>0</v>
      </c>
      <c r="Q418" s="4" t="n">
        <f aca="false">Q417+P418</f>
        <v>7867.5452090265</v>
      </c>
      <c r="R418" s="4" t="n">
        <f aca="false">O418+Q418</f>
        <v>35922.8539511513</v>
      </c>
    </row>
    <row r="419" customFormat="false" ht="15" hidden="false" customHeight="false" outlineLevel="0" collapsed="false">
      <c r="A419" s="2" t="s">
        <v>50</v>
      </c>
      <c r="B419" s="2" t="s">
        <v>40</v>
      </c>
      <c r="C419" s="12" t="n">
        <v>18</v>
      </c>
      <c r="D419" s="12" t="n">
        <v>2041</v>
      </c>
      <c r="E419" s="4" t="n">
        <f aca="false">INDEX(驱动复算!A19:X19,1,情景参数!B12)</f>
        <v>18520.8</v>
      </c>
      <c r="F419" s="4" t="n">
        <f aca="false">E419*(1-情景参数!D12)</f>
        <v>17594.76</v>
      </c>
      <c r="G419" s="4" t="n">
        <f aca="false">IF(情景参数!E12="原表",驱动复算!U19-驱动复算!W19,驱动复算!P19)</f>
        <v>10801.0654624363</v>
      </c>
      <c r="H419" s="4" t="n">
        <f aca="false">IF(情景参数!E12="原表",驱动复算!W19,F419*情景参数!C12)</f>
        <v>351.8952</v>
      </c>
      <c r="I419" s="4" t="n">
        <f aca="false">IF(情景参数!E12="原表",驱动复算!U19,G419+H419)</f>
        <v>11152.9606624363</v>
      </c>
      <c r="J419" s="4" t="n">
        <f aca="false">(F419-I419)*(1-情景参数!F12)</f>
        <v>6441.79933756374</v>
      </c>
      <c r="K419" s="4" t="n">
        <f aca="false">偿债原表!F20</f>
        <v>20000</v>
      </c>
      <c r="L419" s="4" t="n">
        <f aca="false">偿债原表!G20</f>
        <v>644</v>
      </c>
      <c r="M419" s="4" t="n">
        <f aca="false">K419+L419</f>
        <v>20644</v>
      </c>
      <c r="N419" s="4" t="n">
        <f aca="false">J419-M419</f>
        <v>-14202.2006624363</v>
      </c>
      <c r="O419" s="4" t="n">
        <f aca="false">O418+N419</f>
        <v>13853.1080796885</v>
      </c>
      <c r="P419" s="4" t="n">
        <f aca="false">MAX(0,-(R418+N419))</f>
        <v>0</v>
      </c>
      <c r="Q419" s="4" t="n">
        <f aca="false">Q418+P419</f>
        <v>7867.5452090265</v>
      </c>
      <c r="R419" s="4" t="n">
        <f aca="false">O419+Q419</f>
        <v>21720.653288715</v>
      </c>
    </row>
    <row r="420" customFormat="false" ht="15" hidden="false" customHeight="false" outlineLevel="0" collapsed="false">
      <c r="A420" s="2" t="s">
        <v>51</v>
      </c>
      <c r="B420" s="2" t="s">
        <v>39</v>
      </c>
      <c r="C420" s="12" t="n">
        <v>0</v>
      </c>
      <c r="D420" s="13" t="s">
        <v>248</v>
      </c>
      <c r="E420" s="4" t="n">
        <f aca="false">0</f>
        <v>0</v>
      </c>
      <c r="F420" s="4" t="n">
        <f aca="false">E420*(1-情景参数!D13)</f>
        <v>0</v>
      </c>
      <c r="G420" s="4" t="n">
        <f aca="false">0</f>
        <v>0</v>
      </c>
      <c r="H420" s="4" t="n">
        <f aca="false">0</f>
        <v>0</v>
      </c>
      <c r="I420" s="4" t="n">
        <f aca="false">0</f>
        <v>0</v>
      </c>
      <c r="J420" s="4" t="n">
        <f aca="false">(F420-I420)*(1-情景参数!F13)</f>
        <v>0</v>
      </c>
      <c r="K420" s="4" t="n">
        <f aca="false">偿债原表!C2</f>
        <v>0</v>
      </c>
      <c r="L420" s="4" t="n">
        <f aca="false">偿债原表!D2</f>
        <v>1374.2</v>
      </c>
      <c r="M420" s="4" t="n">
        <f aca="false">K420+L420</f>
        <v>1374.2</v>
      </c>
      <c r="N420" s="4" t="n">
        <f aca="false">J420-M420</f>
        <v>-1374.2</v>
      </c>
      <c r="O420" s="4" t="n">
        <f aca="false">N420</f>
        <v>-1374.2</v>
      </c>
      <c r="P420" s="4" t="n">
        <f aca="false">MAX(0,-N420)</f>
        <v>1374.2</v>
      </c>
      <c r="Q420" s="4" t="n">
        <f aca="false">P420</f>
        <v>1374.2</v>
      </c>
      <c r="R420" s="4" t="n">
        <f aca="false">O420+Q420</f>
        <v>0</v>
      </c>
    </row>
    <row r="421" customFormat="false" ht="15" hidden="false" customHeight="false" outlineLevel="0" collapsed="false">
      <c r="A421" s="2" t="s">
        <v>51</v>
      </c>
      <c r="B421" s="2" t="s">
        <v>39</v>
      </c>
      <c r="C421" s="12" t="n">
        <v>1</v>
      </c>
      <c r="D421" s="12" t="n">
        <v>2024</v>
      </c>
      <c r="E421" s="4" t="n">
        <f aca="false">INDEX(驱动复算!A2:X2,1,情景参数!B13)</f>
        <v>0</v>
      </c>
      <c r="F421" s="4" t="n">
        <f aca="false">E421*(1-情景参数!D13)</f>
        <v>0</v>
      </c>
      <c r="G421" s="4" t="n">
        <f aca="false">IF(情景参数!E13="原表",驱动复算!U2-驱动复算!W2,驱动复算!P2)</f>
        <v>0</v>
      </c>
      <c r="H421" s="4" t="n">
        <f aca="false">IF(情景参数!E13="原表",驱动复算!W2,F421*情景参数!C13)</f>
        <v>0</v>
      </c>
      <c r="I421" s="4" t="n">
        <f aca="false">IF(情景参数!E13="原表",驱动复算!U2,G421+H421)</f>
        <v>0</v>
      </c>
      <c r="J421" s="4" t="n">
        <f aca="false">(F421-I421)*(1-情景参数!F13)</f>
        <v>0</v>
      </c>
      <c r="K421" s="4" t="n">
        <f aca="false">偿债原表!C3</f>
        <v>0</v>
      </c>
      <c r="L421" s="4" t="n">
        <f aca="false">偿债原表!D3</f>
        <v>1093.2</v>
      </c>
      <c r="M421" s="4" t="n">
        <f aca="false">K421+L421</f>
        <v>1093.2</v>
      </c>
      <c r="N421" s="4" t="n">
        <f aca="false">J421-M421</f>
        <v>-1093.2</v>
      </c>
      <c r="O421" s="4" t="n">
        <f aca="false">O420+N421</f>
        <v>-2467.4</v>
      </c>
      <c r="P421" s="4" t="n">
        <f aca="false">MAX(0,-(R420+N421))</f>
        <v>1093.2</v>
      </c>
      <c r="Q421" s="4" t="n">
        <f aca="false">Q420+P421</f>
        <v>2467.4</v>
      </c>
      <c r="R421" s="4" t="n">
        <f aca="false">O421+Q421</f>
        <v>0</v>
      </c>
    </row>
    <row r="422" customFormat="false" ht="15" hidden="false" customHeight="false" outlineLevel="0" collapsed="false">
      <c r="A422" s="2" t="s">
        <v>51</v>
      </c>
      <c r="B422" s="2" t="s">
        <v>39</v>
      </c>
      <c r="C422" s="12" t="n">
        <v>2</v>
      </c>
      <c r="D422" s="12" t="n">
        <v>2025</v>
      </c>
      <c r="E422" s="4" t="n">
        <f aca="false">INDEX(驱动复算!A3:X3,1,情景参数!B13)</f>
        <v>0</v>
      </c>
      <c r="F422" s="4" t="n">
        <f aca="false">E422*(1-情景参数!D13)</f>
        <v>0</v>
      </c>
      <c r="G422" s="4" t="n">
        <f aca="false">IF(情景参数!E13="原表",驱动复算!U3-驱动复算!W3,驱动复算!P3)</f>
        <v>0</v>
      </c>
      <c r="H422" s="4" t="n">
        <f aca="false">IF(情景参数!E13="原表",驱动复算!W3,F422*情景参数!C13)</f>
        <v>0</v>
      </c>
      <c r="I422" s="4" t="n">
        <f aca="false">IF(情景参数!E13="原表",驱动复算!U3,G422+H422)</f>
        <v>0</v>
      </c>
      <c r="J422" s="4" t="n">
        <f aca="false">(F422-I422)*(1-情景参数!F13)</f>
        <v>0</v>
      </c>
      <c r="K422" s="4" t="n">
        <f aca="false">偿债原表!C4</f>
        <v>0</v>
      </c>
      <c r="L422" s="4" t="n">
        <f aca="false">偿债原表!D4</f>
        <v>1093.2</v>
      </c>
      <c r="M422" s="4" t="n">
        <f aca="false">K422+L422</f>
        <v>1093.2</v>
      </c>
      <c r="N422" s="4" t="n">
        <f aca="false">J422-M422</f>
        <v>-1093.2</v>
      </c>
      <c r="O422" s="4" t="n">
        <f aca="false">O421+N422</f>
        <v>-3560.6</v>
      </c>
      <c r="P422" s="4" t="n">
        <f aca="false">MAX(0,-(R421+N422))</f>
        <v>1093.2</v>
      </c>
      <c r="Q422" s="4" t="n">
        <f aca="false">Q421+P422</f>
        <v>3560.6</v>
      </c>
      <c r="R422" s="4" t="n">
        <f aca="false">O422+Q422</f>
        <v>0</v>
      </c>
    </row>
    <row r="423" customFormat="false" ht="15" hidden="false" customHeight="false" outlineLevel="0" collapsed="false">
      <c r="A423" s="2" t="s">
        <v>51</v>
      </c>
      <c r="B423" s="2" t="s">
        <v>39</v>
      </c>
      <c r="C423" s="12" t="n">
        <v>3</v>
      </c>
      <c r="D423" s="12" t="n">
        <v>2026</v>
      </c>
      <c r="E423" s="4" t="n">
        <f aca="false">INDEX(驱动复算!A4:X4,1,情景参数!B13)</f>
        <v>0</v>
      </c>
      <c r="F423" s="4" t="n">
        <f aca="false">E423*(1-情景参数!D13)</f>
        <v>0</v>
      </c>
      <c r="G423" s="4" t="n">
        <f aca="false">IF(情景参数!E13="原表",驱动复算!U4-驱动复算!W4,驱动复算!P4)</f>
        <v>0</v>
      </c>
      <c r="H423" s="4" t="n">
        <f aca="false">IF(情景参数!E13="原表",驱动复算!W4,F423*情景参数!C13)</f>
        <v>0</v>
      </c>
      <c r="I423" s="4" t="n">
        <f aca="false">IF(情景参数!E13="原表",驱动复算!U4,G423+H423)</f>
        <v>0</v>
      </c>
      <c r="J423" s="4" t="n">
        <f aca="false">(F423-I423)*(1-情景参数!F13)</f>
        <v>0</v>
      </c>
      <c r="K423" s="4" t="n">
        <f aca="false">偿债原表!C5</f>
        <v>0</v>
      </c>
      <c r="L423" s="4" t="n">
        <f aca="false">偿债原表!D5</f>
        <v>1093.2</v>
      </c>
      <c r="M423" s="4" t="n">
        <f aca="false">K423+L423</f>
        <v>1093.2</v>
      </c>
      <c r="N423" s="4" t="n">
        <f aca="false">J423-M423</f>
        <v>-1093.2</v>
      </c>
      <c r="O423" s="4" t="n">
        <f aca="false">O422+N423</f>
        <v>-4653.8</v>
      </c>
      <c r="P423" s="4" t="n">
        <f aca="false">MAX(0,-(R422+N423))</f>
        <v>1093.2</v>
      </c>
      <c r="Q423" s="4" t="n">
        <f aca="false">Q422+P423</f>
        <v>4653.8</v>
      </c>
      <c r="R423" s="4" t="n">
        <f aca="false">O423+Q423</f>
        <v>0</v>
      </c>
    </row>
    <row r="424" customFormat="false" ht="15" hidden="false" customHeight="false" outlineLevel="0" collapsed="false">
      <c r="A424" s="2" t="s">
        <v>51</v>
      </c>
      <c r="B424" s="2" t="s">
        <v>39</v>
      </c>
      <c r="C424" s="12" t="n">
        <v>4</v>
      </c>
      <c r="D424" s="12" t="n">
        <v>2027</v>
      </c>
      <c r="E424" s="4" t="n">
        <f aca="false">INDEX(驱动复算!A5:X5,1,情景参数!B13)</f>
        <v>0</v>
      </c>
      <c r="F424" s="4" t="n">
        <f aca="false">E424*(1-情景参数!D13)</f>
        <v>0</v>
      </c>
      <c r="G424" s="4" t="n">
        <f aca="false">IF(情景参数!E13="原表",驱动复算!U5-驱动复算!W5,驱动复算!P5)</f>
        <v>0</v>
      </c>
      <c r="H424" s="4" t="n">
        <f aca="false">IF(情景参数!E13="原表",驱动复算!W5,F424*情景参数!C13)</f>
        <v>0</v>
      </c>
      <c r="I424" s="4" t="n">
        <f aca="false">IF(情景参数!E13="原表",驱动复算!U5,G424+H424)</f>
        <v>0</v>
      </c>
      <c r="J424" s="4" t="n">
        <f aca="false">(F424-I424)*(1-情景参数!F13)</f>
        <v>0</v>
      </c>
      <c r="K424" s="4" t="n">
        <f aca="false">偿债原表!C6</f>
        <v>0</v>
      </c>
      <c r="L424" s="4" t="n">
        <f aca="false">偿债原表!D6</f>
        <v>1093.2</v>
      </c>
      <c r="M424" s="4" t="n">
        <f aca="false">K424+L424</f>
        <v>1093.2</v>
      </c>
      <c r="N424" s="4" t="n">
        <f aca="false">J424-M424</f>
        <v>-1093.2</v>
      </c>
      <c r="O424" s="4" t="n">
        <f aca="false">O423+N424</f>
        <v>-5747</v>
      </c>
      <c r="P424" s="4" t="n">
        <f aca="false">MAX(0,-(R423+N424))</f>
        <v>1093.2</v>
      </c>
      <c r="Q424" s="4" t="n">
        <f aca="false">Q423+P424</f>
        <v>5747</v>
      </c>
      <c r="R424" s="4" t="n">
        <f aca="false">O424+Q424</f>
        <v>0</v>
      </c>
    </row>
    <row r="425" customFormat="false" ht="15" hidden="false" customHeight="false" outlineLevel="0" collapsed="false">
      <c r="A425" s="2" t="s">
        <v>51</v>
      </c>
      <c r="B425" s="2" t="s">
        <v>39</v>
      </c>
      <c r="C425" s="12" t="n">
        <v>5</v>
      </c>
      <c r="D425" s="12" t="n">
        <v>2028</v>
      </c>
      <c r="E425" s="4" t="n">
        <f aca="false">INDEX(驱动复算!A6:X6,1,情景参数!B13)</f>
        <v>9234.58</v>
      </c>
      <c r="F425" s="4" t="n">
        <f aca="false">E425*(1-情景参数!D13)</f>
        <v>8772.851</v>
      </c>
      <c r="G425" s="4" t="n">
        <f aca="false">IF(情景参数!E13="原表",驱动复算!U6-驱动复算!W6,驱动复算!P6)</f>
        <v>7355</v>
      </c>
      <c r="H425" s="4" t="n">
        <f aca="false">IF(情景参数!E13="原表",驱动复算!W6,F425*情景参数!C13)</f>
        <v>438.64255</v>
      </c>
      <c r="I425" s="4" t="n">
        <f aca="false">IF(情景参数!E13="原表",驱动复算!U6,G425+H425)</f>
        <v>7793.64255</v>
      </c>
      <c r="J425" s="4" t="n">
        <f aca="false">(F425-I425)*(1-情景参数!F13)</f>
        <v>979.208449999999</v>
      </c>
      <c r="K425" s="4" t="n">
        <f aca="false">偿债原表!C7</f>
        <v>11000</v>
      </c>
      <c r="L425" s="4" t="n">
        <f aca="false">偿债原表!D7</f>
        <v>1093.2</v>
      </c>
      <c r="M425" s="4" t="n">
        <f aca="false">K425+L425</f>
        <v>12093.2</v>
      </c>
      <c r="N425" s="4" t="n">
        <f aca="false">J425-M425</f>
        <v>-11113.99155</v>
      </c>
      <c r="O425" s="4" t="n">
        <f aca="false">O424+N425</f>
        <v>-16860.99155</v>
      </c>
      <c r="P425" s="4" t="n">
        <f aca="false">MAX(0,-(R424+N425))</f>
        <v>11113.99155</v>
      </c>
      <c r="Q425" s="4" t="n">
        <f aca="false">Q424+P425</f>
        <v>16860.99155</v>
      </c>
      <c r="R425" s="4" t="n">
        <f aca="false">O425+Q425</f>
        <v>0</v>
      </c>
    </row>
    <row r="426" customFormat="false" ht="15" hidden="false" customHeight="false" outlineLevel="0" collapsed="false">
      <c r="A426" s="2" t="s">
        <v>51</v>
      </c>
      <c r="B426" s="2" t="s">
        <v>39</v>
      </c>
      <c r="C426" s="12" t="n">
        <v>6</v>
      </c>
      <c r="D426" s="12" t="n">
        <v>2029</v>
      </c>
      <c r="E426" s="4" t="n">
        <f aca="false">INDEX(驱动复算!A7:X7,1,情景参数!B13)</f>
        <v>10123.19</v>
      </c>
      <c r="F426" s="4" t="n">
        <f aca="false">E426*(1-情景参数!D13)</f>
        <v>9617.0305</v>
      </c>
      <c r="G426" s="4" t="n">
        <f aca="false">IF(情景参数!E13="原表",驱动复算!U7-驱动复算!W7,驱动复算!P7)</f>
        <v>7575.65</v>
      </c>
      <c r="H426" s="4" t="n">
        <f aca="false">IF(情景参数!E13="原表",驱动复算!W7,F426*情景参数!C13)</f>
        <v>480.851525</v>
      </c>
      <c r="I426" s="4" t="n">
        <f aca="false">IF(情景参数!E13="原表",驱动复算!U7,G426+H426)</f>
        <v>8056.501525</v>
      </c>
      <c r="J426" s="4" t="n">
        <f aca="false">(F426-I426)*(1-情景参数!F13)</f>
        <v>1560.528975</v>
      </c>
      <c r="K426" s="4" t="n">
        <f aca="false">偿债原表!C8</f>
        <v>0</v>
      </c>
      <c r="L426" s="4" t="n">
        <f aca="false">偿债原表!D8</f>
        <v>730.2</v>
      </c>
      <c r="M426" s="4" t="n">
        <f aca="false">K426+L426</f>
        <v>730.2</v>
      </c>
      <c r="N426" s="4" t="n">
        <f aca="false">J426-M426</f>
        <v>830.328975</v>
      </c>
      <c r="O426" s="4" t="n">
        <f aca="false">O425+N426</f>
        <v>-16030.662575</v>
      </c>
      <c r="P426" s="4" t="n">
        <f aca="false">MAX(0,-(R425+N426))</f>
        <v>0</v>
      </c>
      <c r="Q426" s="4" t="n">
        <f aca="false">Q425+P426</f>
        <v>16860.99155</v>
      </c>
      <c r="R426" s="4" t="n">
        <f aca="false">O426+Q426</f>
        <v>830.328975</v>
      </c>
    </row>
    <row r="427" customFormat="false" ht="15" hidden="false" customHeight="false" outlineLevel="0" collapsed="false">
      <c r="A427" s="2" t="s">
        <v>51</v>
      </c>
      <c r="B427" s="2" t="s">
        <v>39</v>
      </c>
      <c r="C427" s="12" t="n">
        <v>7</v>
      </c>
      <c r="D427" s="12" t="n">
        <v>2030</v>
      </c>
      <c r="E427" s="4" t="n">
        <f aca="false">INDEX(驱动复算!A8:X8,1,情景参数!B13)</f>
        <v>11041.69</v>
      </c>
      <c r="F427" s="4" t="n">
        <f aca="false">E427*(1-情景参数!D13)</f>
        <v>10489.6055</v>
      </c>
      <c r="G427" s="4" t="n">
        <f aca="false">IF(情景参数!E13="原表",驱动复算!U8-驱动复算!W8,驱动复算!P8)</f>
        <v>7802.9195</v>
      </c>
      <c r="H427" s="4" t="n">
        <f aca="false">IF(情景参数!E13="原表",驱动复算!W8,F427*情景参数!C13)</f>
        <v>524.480275</v>
      </c>
      <c r="I427" s="4" t="n">
        <f aca="false">IF(情景参数!E13="原表",驱动复算!U8,G427+H427)</f>
        <v>8327.399775</v>
      </c>
      <c r="J427" s="4" t="n">
        <f aca="false">(F427-I427)*(1-情景参数!F13)</f>
        <v>2162.205725</v>
      </c>
      <c r="K427" s="4" t="n">
        <f aca="false">偿债原表!C9</f>
        <v>0</v>
      </c>
      <c r="L427" s="4" t="n">
        <f aca="false">偿债原表!D9</f>
        <v>730.2</v>
      </c>
      <c r="M427" s="4" t="n">
        <f aca="false">K427+L427</f>
        <v>730.2</v>
      </c>
      <c r="N427" s="4" t="n">
        <f aca="false">J427-M427</f>
        <v>1432.005725</v>
      </c>
      <c r="O427" s="4" t="n">
        <f aca="false">O426+N427</f>
        <v>-14598.65685</v>
      </c>
      <c r="P427" s="4" t="n">
        <f aca="false">MAX(0,-(R426+N427))</f>
        <v>0</v>
      </c>
      <c r="Q427" s="4" t="n">
        <f aca="false">Q426+P427</f>
        <v>16860.99155</v>
      </c>
      <c r="R427" s="4" t="n">
        <f aca="false">O427+Q427</f>
        <v>2262.3347</v>
      </c>
    </row>
    <row r="428" customFormat="false" ht="15" hidden="false" customHeight="false" outlineLevel="0" collapsed="false">
      <c r="A428" s="2" t="s">
        <v>51</v>
      </c>
      <c r="B428" s="2" t="s">
        <v>39</v>
      </c>
      <c r="C428" s="12" t="n">
        <v>8</v>
      </c>
      <c r="D428" s="12" t="n">
        <v>2031</v>
      </c>
      <c r="E428" s="4" t="n">
        <f aca="false">INDEX(驱动复算!A9:X9,1,情景参数!B13)</f>
        <v>12052.04</v>
      </c>
      <c r="F428" s="4" t="n">
        <f aca="false">E428*(1-情景参数!D13)</f>
        <v>11449.438</v>
      </c>
      <c r="G428" s="4" t="n">
        <f aca="false">IF(情景参数!E13="原表",驱动复算!U9-驱动复算!W9,驱动复算!P9)</f>
        <v>8037.007085</v>
      </c>
      <c r="H428" s="4" t="n">
        <f aca="false">IF(情景参数!E13="原表",驱动复算!W9,F428*情景参数!C13)</f>
        <v>572.4719</v>
      </c>
      <c r="I428" s="4" t="n">
        <f aca="false">IF(情景参数!E13="原表",驱动复算!U9,G428+H428)</f>
        <v>8609.478985</v>
      </c>
      <c r="J428" s="4" t="n">
        <f aca="false">(F428-I428)*(1-情景参数!F13)</f>
        <v>2839.959015</v>
      </c>
      <c r="K428" s="4" t="n">
        <f aca="false">偿债原表!C10</f>
        <v>0</v>
      </c>
      <c r="L428" s="4" t="n">
        <f aca="false">偿债原表!D10</f>
        <v>730.2</v>
      </c>
      <c r="M428" s="4" t="n">
        <f aca="false">K428+L428</f>
        <v>730.2</v>
      </c>
      <c r="N428" s="4" t="n">
        <f aca="false">J428-M428</f>
        <v>2109.759015</v>
      </c>
      <c r="O428" s="4" t="n">
        <f aca="false">O427+N428</f>
        <v>-12488.897835</v>
      </c>
      <c r="P428" s="4" t="n">
        <f aca="false">MAX(0,-(R427+N428))</f>
        <v>0</v>
      </c>
      <c r="Q428" s="4" t="n">
        <f aca="false">Q427+P428</f>
        <v>16860.99155</v>
      </c>
      <c r="R428" s="4" t="n">
        <f aca="false">O428+Q428</f>
        <v>4372.093715</v>
      </c>
    </row>
    <row r="429" customFormat="false" ht="15" hidden="false" customHeight="false" outlineLevel="0" collapsed="false">
      <c r="A429" s="2" t="s">
        <v>51</v>
      </c>
      <c r="B429" s="2" t="s">
        <v>39</v>
      </c>
      <c r="C429" s="12" t="n">
        <v>9</v>
      </c>
      <c r="D429" s="12" t="n">
        <v>2032</v>
      </c>
      <c r="E429" s="4" t="n">
        <f aca="false">INDEX(驱动复算!A10:X10,1,情景参数!B13)</f>
        <v>13163.43</v>
      </c>
      <c r="F429" s="4" t="n">
        <f aca="false">E429*(1-情景参数!D13)</f>
        <v>12505.2585</v>
      </c>
      <c r="G429" s="4" t="n">
        <f aca="false">IF(情景参数!E13="原表",驱动复算!U10-驱动复算!W10,驱动复算!P10)</f>
        <v>8278.11729755</v>
      </c>
      <c r="H429" s="4" t="n">
        <f aca="false">IF(情景参数!E13="原表",驱动复算!W10,F429*情景参数!C13)</f>
        <v>625.262925</v>
      </c>
      <c r="I429" s="4" t="n">
        <f aca="false">IF(情景参数!E13="原表",驱动复算!U10,G429+H429)</f>
        <v>8903.38022255</v>
      </c>
      <c r="J429" s="4" t="n">
        <f aca="false">(F429-I429)*(1-情景参数!F13)</f>
        <v>3601.87827745</v>
      </c>
      <c r="K429" s="4" t="n">
        <f aca="false">偿债原表!C11</f>
        <v>2000</v>
      </c>
      <c r="L429" s="4" t="n">
        <f aca="false">偿债原表!D11</f>
        <v>730.2</v>
      </c>
      <c r="M429" s="4" t="n">
        <f aca="false">K429+L429</f>
        <v>2730.2</v>
      </c>
      <c r="N429" s="4" t="n">
        <f aca="false">J429-M429</f>
        <v>871.67827745</v>
      </c>
      <c r="O429" s="4" t="n">
        <f aca="false">O428+N429</f>
        <v>-11617.21955755</v>
      </c>
      <c r="P429" s="4" t="n">
        <f aca="false">MAX(0,-(R428+N429))</f>
        <v>0</v>
      </c>
      <c r="Q429" s="4" t="n">
        <f aca="false">Q428+P429</f>
        <v>16860.99155</v>
      </c>
      <c r="R429" s="4" t="n">
        <f aca="false">O429+Q429</f>
        <v>5243.77199245</v>
      </c>
    </row>
    <row r="430" customFormat="false" ht="15" hidden="false" customHeight="false" outlineLevel="0" collapsed="false">
      <c r="A430" s="2" t="s">
        <v>51</v>
      </c>
      <c r="B430" s="2" t="s">
        <v>39</v>
      </c>
      <c r="C430" s="12" t="n">
        <v>10</v>
      </c>
      <c r="D430" s="12" t="n">
        <v>2033</v>
      </c>
      <c r="E430" s="4" t="n">
        <f aca="false">INDEX(驱动复算!A11:X11,1,情景参数!B13)</f>
        <v>14139.86</v>
      </c>
      <c r="F430" s="4" t="n">
        <f aca="false">E430*(1-情景参数!D13)</f>
        <v>13432.867</v>
      </c>
      <c r="G430" s="4" t="n">
        <f aca="false">IF(情景参数!E13="原表",驱动复算!U11-驱动复算!W11,驱动复算!P11)</f>
        <v>8526.4608164765</v>
      </c>
      <c r="H430" s="4" t="n">
        <f aca="false">IF(情景参数!E13="原表",驱动复算!W11,F430*情景参数!C13)</f>
        <v>671.64335</v>
      </c>
      <c r="I430" s="4" t="n">
        <f aca="false">IF(情景参数!E13="原表",驱动复算!U11,G430+H430)</f>
        <v>9198.1041664765</v>
      </c>
      <c r="J430" s="4" t="n">
        <f aca="false">(F430-I430)*(1-情景参数!F13)</f>
        <v>4234.7628335235</v>
      </c>
      <c r="K430" s="4" t="n">
        <f aca="false">偿债原表!C12</f>
        <v>0</v>
      </c>
      <c r="L430" s="4" t="n">
        <f aca="false">偿债原表!D12</f>
        <v>673.2</v>
      </c>
      <c r="M430" s="4" t="n">
        <f aca="false">K430+L430</f>
        <v>673.2</v>
      </c>
      <c r="N430" s="4" t="n">
        <f aca="false">J430-M430</f>
        <v>3561.5628335235</v>
      </c>
      <c r="O430" s="4" t="n">
        <f aca="false">O429+N430</f>
        <v>-8055.65672402651</v>
      </c>
      <c r="P430" s="4" t="n">
        <f aca="false">MAX(0,-(R429+N430))</f>
        <v>0</v>
      </c>
      <c r="Q430" s="4" t="n">
        <f aca="false">Q429+P430</f>
        <v>16860.99155</v>
      </c>
      <c r="R430" s="4" t="n">
        <f aca="false">O430+Q430</f>
        <v>8805.3348259735</v>
      </c>
    </row>
    <row r="431" customFormat="false" ht="15" hidden="false" customHeight="false" outlineLevel="0" collapsed="false">
      <c r="A431" s="2" t="s">
        <v>51</v>
      </c>
      <c r="B431" s="2" t="s">
        <v>39</v>
      </c>
      <c r="C431" s="12" t="n">
        <v>11</v>
      </c>
      <c r="D431" s="12" t="n">
        <v>2034</v>
      </c>
      <c r="E431" s="4" t="n">
        <f aca="false">INDEX(驱动复算!A12:X12,1,情景参数!B13)</f>
        <v>14781.69</v>
      </c>
      <c r="F431" s="4" t="n">
        <f aca="false">E431*(1-情景参数!D13)</f>
        <v>14042.6055</v>
      </c>
      <c r="G431" s="4" t="n">
        <f aca="false">IF(情景参数!E13="原表",驱动复算!U12-驱动复算!W12,驱动复算!P12)</f>
        <v>8782.2546409708</v>
      </c>
      <c r="H431" s="4" t="n">
        <f aca="false">IF(情景参数!E13="原表",驱动复算!W12,F431*情景参数!C13)</f>
        <v>702.130275</v>
      </c>
      <c r="I431" s="4" t="n">
        <f aca="false">IF(情景参数!E13="原表",驱动复算!U12,G431+H431)</f>
        <v>9484.3849159708</v>
      </c>
      <c r="J431" s="4" t="n">
        <f aca="false">(F431-I431)*(1-情景参数!F13)</f>
        <v>4558.2205840292</v>
      </c>
      <c r="K431" s="4" t="n">
        <f aca="false">偿债原表!C13</f>
        <v>0</v>
      </c>
      <c r="L431" s="4" t="n">
        <f aca="false">偿债原表!D13</f>
        <v>673.2</v>
      </c>
      <c r="M431" s="4" t="n">
        <f aca="false">K431+L431</f>
        <v>673.2</v>
      </c>
      <c r="N431" s="4" t="n">
        <f aca="false">J431-M431</f>
        <v>3885.0205840292</v>
      </c>
      <c r="O431" s="4" t="n">
        <f aca="false">O430+N431</f>
        <v>-4170.6361399973</v>
      </c>
      <c r="P431" s="4" t="n">
        <f aca="false">MAX(0,-(R430+N431))</f>
        <v>0</v>
      </c>
      <c r="Q431" s="4" t="n">
        <f aca="false">Q430+P431</f>
        <v>16860.99155</v>
      </c>
      <c r="R431" s="4" t="n">
        <f aca="false">O431+Q431</f>
        <v>12690.3554100027</v>
      </c>
    </row>
    <row r="432" customFormat="false" ht="15" hidden="false" customHeight="false" outlineLevel="0" collapsed="false">
      <c r="A432" s="2" t="s">
        <v>51</v>
      </c>
      <c r="B432" s="2" t="s">
        <v>39</v>
      </c>
      <c r="C432" s="12" t="n">
        <v>12</v>
      </c>
      <c r="D432" s="12" t="n">
        <v>2035</v>
      </c>
      <c r="E432" s="4" t="n">
        <f aca="false">INDEX(驱动复算!A13:X13,1,情景参数!B13)</f>
        <v>15455.6</v>
      </c>
      <c r="F432" s="4" t="n">
        <f aca="false">E432*(1-情景参数!D13)</f>
        <v>14682.82</v>
      </c>
      <c r="G432" s="4" t="n">
        <f aca="false">IF(情景参数!E13="原表",驱动复算!U13-驱动复算!W13,驱动复算!P13)</f>
        <v>9045.72228019992</v>
      </c>
      <c r="H432" s="4" t="n">
        <f aca="false">IF(情景参数!E13="原表",驱动复算!W13,F432*情景参数!C13)</f>
        <v>734.141</v>
      </c>
      <c r="I432" s="4" t="n">
        <f aca="false">IF(情景参数!E13="原表",驱动复算!U13,G432+H432)</f>
        <v>9779.86328019992</v>
      </c>
      <c r="J432" s="4" t="n">
        <f aca="false">(F432-I432)*(1-情景参数!F13)</f>
        <v>4902.95671980008</v>
      </c>
      <c r="K432" s="4" t="n">
        <f aca="false">偿债原表!C14</f>
        <v>0</v>
      </c>
      <c r="L432" s="4" t="n">
        <f aca="false">偿债原表!D14</f>
        <v>673.2</v>
      </c>
      <c r="M432" s="4" t="n">
        <f aca="false">K432+L432</f>
        <v>673.2</v>
      </c>
      <c r="N432" s="4" t="n">
        <f aca="false">J432-M432</f>
        <v>4229.75671980008</v>
      </c>
      <c r="O432" s="4" t="n">
        <f aca="false">O431+N432</f>
        <v>59.1205798027795</v>
      </c>
      <c r="P432" s="4" t="n">
        <f aca="false">MAX(0,-(R431+N432))</f>
        <v>0</v>
      </c>
      <c r="Q432" s="4" t="n">
        <f aca="false">Q431+P432</f>
        <v>16860.99155</v>
      </c>
      <c r="R432" s="4" t="n">
        <f aca="false">O432+Q432</f>
        <v>16920.1121298028</v>
      </c>
    </row>
    <row r="433" customFormat="false" ht="15" hidden="false" customHeight="false" outlineLevel="0" collapsed="false">
      <c r="A433" s="2" t="s">
        <v>51</v>
      </c>
      <c r="B433" s="2" t="s">
        <v>39</v>
      </c>
      <c r="C433" s="12" t="n">
        <v>13</v>
      </c>
      <c r="D433" s="12" t="n">
        <v>2036</v>
      </c>
      <c r="E433" s="4" t="n">
        <f aca="false">INDEX(驱动复算!A14:X14,1,情景参数!B13)</f>
        <v>16163.21</v>
      </c>
      <c r="F433" s="4" t="n">
        <f aca="false">E433*(1-情景参数!D13)</f>
        <v>15355.0495</v>
      </c>
      <c r="G433" s="4" t="n">
        <f aca="false">IF(情景参数!E13="原表",驱动复算!U14-驱动复算!W14,驱动复算!P14)</f>
        <v>9317.09394860592</v>
      </c>
      <c r="H433" s="4" t="n">
        <f aca="false">IF(情景参数!E13="原表",驱动复算!W14,F433*情景参数!C13)</f>
        <v>767.752475</v>
      </c>
      <c r="I433" s="4" t="n">
        <f aca="false">IF(情景参数!E13="原表",驱动复算!U14,G433+H433)</f>
        <v>10084.8464236059</v>
      </c>
      <c r="J433" s="4" t="n">
        <f aca="false">(F433-I433)*(1-情景参数!F13)</f>
        <v>5270.20307639408</v>
      </c>
      <c r="K433" s="4" t="n">
        <f aca="false">偿债原表!C15</f>
        <v>0</v>
      </c>
      <c r="L433" s="4" t="n">
        <f aca="false">偿债原表!D15</f>
        <v>673.2</v>
      </c>
      <c r="M433" s="4" t="n">
        <f aca="false">K433+L433</f>
        <v>673.2</v>
      </c>
      <c r="N433" s="4" t="n">
        <f aca="false">J433-M433</f>
        <v>4597.00307639408</v>
      </c>
      <c r="O433" s="4" t="n">
        <f aca="false">O432+N433</f>
        <v>4656.12365619686</v>
      </c>
      <c r="P433" s="4" t="n">
        <f aca="false">MAX(0,-(R432+N433))</f>
        <v>0</v>
      </c>
      <c r="Q433" s="4" t="n">
        <f aca="false">Q432+P433</f>
        <v>16860.99155</v>
      </c>
      <c r="R433" s="4" t="n">
        <f aca="false">O433+Q433</f>
        <v>21517.1152061969</v>
      </c>
    </row>
    <row r="434" customFormat="false" ht="15" hidden="false" customHeight="false" outlineLevel="0" collapsed="false">
      <c r="A434" s="2" t="s">
        <v>51</v>
      </c>
      <c r="B434" s="2" t="s">
        <v>39</v>
      </c>
      <c r="C434" s="12" t="n">
        <v>14</v>
      </c>
      <c r="D434" s="12" t="n">
        <v>2037</v>
      </c>
      <c r="E434" s="4" t="n">
        <f aca="false">INDEX(驱动复算!A15:X15,1,情景参数!B13)</f>
        <v>16906.2</v>
      </c>
      <c r="F434" s="4" t="n">
        <f aca="false">E434*(1-情景参数!D13)</f>
        <v>16060.89</v>
      </c>
      <c r="G434" s="4" t="n">
        <f aca="false">IF(情景参数!E13="原表",驱动复算!U15-驱动复算!W15,驱动复算!P15)</f>
        <v>9596.6067670641</v>
      </c>
      <c r="H434" s="4" t="n">
        <f aca="false">IF(情景参数!E13="原表",驱动复算!W15,F434*情景参数!C13)</f>
        <v>803.0445</v>
      </c>
      <c r="I434" s="4" t="n">
        <f aca="false">IF(情景参数!E13="原表",驱动复算!U15,G434+H434)</f>
        <v>10399.6512670641</v>
      </c>
      <c r="J434" s="4" t="n">
        <f aca="false">(F434-I434)*(1-情景参数!F13)</f>
        <v>5661.2387329359</v>
      </c>
      <c r="K434" s="4" t="n">
        <f aca="false">偿债原表!C16</f>
        <v>1000</v>
      </c>
      <c r="L434" s="4" t="n">
        <f aca="false">偿债原表!D16</f>
        <v>673.2</v>
      </c>
      <c r="M434" s="4" t="n">
        <f aca="false">K434+L434</f>
        <v>1673.2</v>
      </c>
      <c r="N434" s="4" t="n">
        <f aca="false">J434-M434</f>
        <v>3988.0387329359</v>
      </c>
      <c r="O434" s="4" t="n">
        <f aca="false">O433+N434</f>
        <v>8644.16238913277</v>
      </c>
      <c r="P434" s="4" t="n">
        <f aca="false">MAX(0,-(R433+N434))</f>
        <v>0</v>
      </c>
      <c r="Q434" s="4" t="n">
        <f aca="false">Q433+P434</f>
        <v>16860.99155</v>
      </c>
      <c r="R434" s="4" t="n">
        <f aca="false">O434+Q434</f>
        <v>25505.1539391328</v>
      </c>
    </row>
    <row r="435" customFormat="false" ht="15" hidden="false" customHeight="false" outlineLevel="0" collapsed="false">
      <c r="A435" s="2" t="s">
        <v>51</v>
      </c>
      <c r="B435" s="2" t="s">
        <v>39</v>
      </c>
      <c r="C435" s="12" t="n">
        <v>15</v>
      </c>
      <c r="D435" s="12" t="n">
        <v>2038</v>
      </c>
      <c r="E435" s="4" t="n">
        <f aca="false">INDEX(驱动复算!A16:X16,1,情景参数!B13)</f>
        <v>17546.68</v>
      </c>
      <c r="F435" s="4" t="n">
        <f aca="false">E435*(1-情景参数!D13)</f>
        <v>16669.346</v>
      </c>
      <c r="G435" s="4" t="n">
        <f aca="false">IF(情景参数!E13="原表",驱动复算!U16-驱动复算!W16,驱动复算!P16)</f>
        <v>9884.50497007602</v>
      </c>
      <c r="H435" s="4" t="n">
        <f aca="false">IF(情景参数!E13="原表",驱动复算!W16,F435*情景参数!C13)</f>
        <v>833.4673</v>
      </c>
      <c r="I435" s="4" t="n">
        <f aca="false">IF(情景参数!E13="原表",驱动复算!U16,G435+H435)</f>
        <v>10717.972270076</v>
      </c>
      <c r="J435" s="4" t="n">
        <f aca="false">(F435-I435)*(1-情景参数!F13)</f>
        <v>5951.37372992398</v>
      </c>
      <c r="K435" s="4" t="n">
        <f aca="false">偿债原表!C17</f>
        <v>0</v>
      </c>
      <c r="L435" s="4" t="n">
        <f aca="false">偿债原表!D17</f>
        <v>644</v>
      </c>
      <c r="M435" s="4" t="n">
        <f aca="false">K435+L435</f>
        <v>644</v>
      </c>
      <c r="N435" s="4" t="n">
        <f aca="false">J435-M435</f>
        <v>5307.37372992398</v>
      </c>
      <c r="O435" s="4" t="n">
        <f aca="false">O434+N435</f>
        <v>13951.5361190567</v>
      </c>
      <c r="P435" s="4" t="n">
        <f aca="false">MAX(0,-(R434+N435))</f>
        <v>0</v>
      </c>
      <c r="Q435" s="4" t="n">
        <f aca="false">Q434+P435</f>
        <v>16860.99155</v>
      </c>
      <c r="R435" s="4" t="n">
        <f aca="false">O435+Q435</f>
        <v>30812.5276690567</v>
      </c>
    </row>
    <row r="436" customFormat="false" ht="15" hidden="false" customHeight="false" outlineLevel="0" collapsed="false">
      <c r="A436" s="2" t="s">
        <v>51</v>
      </c>
      <c r="B436" s="2" t="s">
        <v>39</v>
      </c>
      <c r="C436" s="12" t="n">
        <v>16</v>
      </c>
      <c r="D436" s="12" t="n">
        <v>2039</v>
      </c>
      <c r="E436" s="4" t="n">
        <f aca="false">INDEX(驱动复算!A17:X17,1,情景参数!B13)</f>
        <v>17864.98</v>
      </c>
      <c r="F436" s="4" t="n">
        <f aca="false">E436*(1-情景参数!D13)</f>
        <v>16971.731</v>
      </c>
      <c r="G436" s="4" t="n">
        <f aca="false">IF(情景参数!E13="原表",驱动复算!U17-驱动复算!W17,驱动复算!P17)</f>
        <v>10181.0401191783</v>
      </c>
      <c r="H436" s="4" t="n">
        <f aca="false">IF(情景参数!E13="原表",驱动复算!W17,F436*情景参数!C13)</f>
        <v>848.58655</v>
      </c>
      <c r="I436" s="4" t="n">
        <f aca="false">IF(情景参数!E13="原表",驱动复算!U17,G436+H436)</f>
        <v>11029.6266691783</v>
      </c>
      <c r="J436" s="4" t="n">
        <f aca="false">(F436-I436)*(1-情景参数!F13)</f>
        <v>5942.1043308217</v>
      </c>
      <c r="K436" s="4" t="n">
        <f aca="false">偿债原表!C18</f>
        <v>0</v>
      </c>
      <c r="L436" s="4" t="n">
        <f aca="false">偿债原表!D18</f>
        <v>644</v>
      </c>
      <c r="M436" s="4" t="n">
        <f aca="false">K436+L436</f>
        <v>644</v>
      </c>
      <c r="N436" s="4" t="n">
        <f aca="false">J436-M436</f>
        <v>5298.1043308217</v>
      </c>
      <c r="O436" s="4" t="n">
        <f aca="false">O435+N436</f>
        <v>19249.6404498784</v>
      </c>
      <c r="P436" s="4" t="n">
        <f aca="false">MAX(0,-(R435+N436))</f>
        <v>0</v>
      </c>
      <c r="Q436" s="4" t="n">
        <f aca="false">Q435+P436</f>
        <v>16860.99155</v>
      </c>
      <c r="R436" s="4" t="n">
        <f aca="false">O436+Q436</f>
        <v>36110.6319998784</v>
      </c>
    </row>
    <row r="437" customFormat="false" ht="15" hidden="false" customHeight="false" outlineLevel="0" collapsed="false">
      <c r="A437" s="2" t="s">
        <v>51</v>
      </c>
      <c r="B437" s="2" t="s">
        <v>39</v>
      </c>
      <c r="C437" s="12" t="n">
        <v>17</v>
      </c>
      <c r="D437" s="12" t="n">
        <v>2040</v>
      </c>
      <c r="E437" s="4" t="n">
        <f aca="false">INDEX(驱动复算!A18:X18,1,情景参数!B13)</f>
        <v>18189.64</v>
      </c>
      <c r="F437" s="4" t="n">
        <f aca="false">E437*(1-情景参数!D13)</f>
        <v>17280.158</v>
      </c>
      <c r="G437" s="4" t="n">
        <f aca="false">IF(情景参数!E13="原表",驱动复算!U18-驱动复算!W18,驱动复算!P18)</f>
        <v>10486.4713227536</v>
      </c>
      <c r="H437" s="4" t="n">
        <f aca="false">IF(情景参数!E13="原表",驱动复算!W18,F437*情景参数!C13)</f>
        <v>864.0079</v>
      </c>
      <c r="I437" s="4" t="n">
        <f aca="false">IF(情景参数!E13="原表",驱动复算!U18,G437+H437)</f>
        <v>11350.4792227536</v>
      </c>
      <c r="J437" s="4" t="n">
        <f aca="false">(F437-I437)*(1-情景参数!F13)</f>
        <v>5929.67877724635</v>
      </c>
      <c r="K437" s="4" t="n">
        <f aca="false">偿债原表!C19</f>
        <v>0</v>
      </c>
      <c r="L437" s="4" t="n">
        <f aca="false">偿债原表!D19</f>
        <v>644</v>
      </c>
      <c r="M437" s="4" t="n">
        <f aca="false">K437+L437</f>
        <v>644</v>
      </c>
      <c r="N437" s="4" t="n">
        <f aca="false">J437-M437</f>
        <v>5285.67877724635</v>
      </c>
      <c r="O437" s="4" t="n">
        <f aca="false">O436+N437</f>
        <v>24535.3192271248</v>
      </c>
      <c r="P437" s="4" t="n">
        <f aca="false">MAX(0,-(R436+N437))</f>
        <v>0</v>
      </c>
      <c r="Q437" s="4" t="n">
        <f aca="false">Q436+P437</f>
        <v>16860.99155</v>
      </c>
      <c r="R437" s="4" t="n">
        <f aca="false">O437+Q437</f>
        <v>41396.3107771248</v>
      </c>
    </row>
    <row r="438" customFormat="false" ht="15" hidden="false" customHeight="false" outlineLevel="0" collapsed="false">
      <c r="A438" s="2" t="s">
        <v>51</v>
      </c>
      <c r="B438" s="2" t="s">
        <v>39</v>
      </c>
      <c r="C438" s="12" t="n">
        <v>18</v>
      </c>
      <c r="D438" s="12" t="n">
        <v>2041</v>
      </c>
      <c r="E438" s="4" t="n">
        <f aca="false">INDEX(驱动复算!A19:X19,1,情景参数!B13)</f>
        <v>18520.8</v>
      </c>
      <c r="F438" s="4" t="n">
        <f aca="false">E438*(1-情景参数!D13)</f>
        <v>17594.76</v>
      </c>
      <c r="G438" s="4" t="n">
        <f aca="false">IF(情景参数!E13="原表",驱动复算!U19-驱动复算!W19,驱动复算!P19)</f>
        <v>10801.0654624363</v>
      </c>
      <c r="H438" s="4" t="n">
        <f aca="false">IF(情景参数!E13="原表",驱动复算!W19,F438*情景参数!C13)</f>
        <v>879.738</v>
      </c>
      <c r="I438" s="4" t="n">
        <f aca="false">IF(情景参数!E13="原表",驱动复算!U19,G438+H438)</f>
        <v>11680.8034624363</v>
      </c>
      <c r="J438" s="4" t="n">
        <f aca="false">(F438-I438)*(1-情景参数!F13)</f>
        <v>5913.95653756374</v>
      </c>
      <c r="K438" s="4" t="n">
        <f aca="false">偿债原表!C20</f>
        <v>20000</v>
      </c>
      <c r="L438" s="4" t="n">
        <f aca="false">偿债原表!D20</f>
        <v>644</v>
      </c>
      <c r="M438" s="4" t="n">
        <f aca="false">K438+L438</f>
        <v>20644</v>
      </c>
      <c r="N438" s="4" t="n">
        <f aca="false">J438-M438</f>
        <v>-14730.0434624363</v>
      </c>
      <c r="O438" s="4" t="n">
        <f aca="false">O437+N438</f>
        <v>9805.27576468853</v>
      </c>
      <c r="P438" s="4" t="n">
        <f aca="false">MAX(0,-(R437+N438))</f>
        <v>0</v>
      </c>
      <c r="Q438" s="4" t="n">
        <f aca="false">Q437+P438</f>
        <v>16860.99155</v>
      </c>
      <c r="R438" s="4" t="n">
        <f aca="false">O438+Q438</f>
        <v>26666.2673146885</v>
      </c>
    </row>
    <row r="439" customFormat="false" ht="15" hidden="false" customHeight="false" outlineLevel="0" collapsed="false">
      <c r="A439" s="2" t="s">
        <v>51</v>
      </c>
      <c r="B439" s="2" t="s">
        <v>40</v>
      </c>
      <c r="C439" s="12" t="n">
        <v>0</v>
      </c>
      <c r="D439" s="13" t="s">
        <v>248</v>
      </c>
      <c r="E439" s="4" t="n">
        <f aca="false">0</f>
        <v>0</v>
      </c>
      <c r="F439" s="4" t="n">
        <f aca="false">E439*(1-情景参数!D13)</f>
        <v>0</v>
      </c>
      <c r="G439" s="4" t="n">
        <f aca="false">0</f>
        <v>0</v>
      </c>
      <c r="H439" s="4" t="n">
        <f aca="false">0</f>
        <v>0</v>
      </c>
      <c r="I439" s="4" t="n">
        <f aca="false">0</f>
        <v>0</v>
      </c>
      <c r="J439" s="4" t="n">
        <f aca="false">(F439-I439)*(1-情景参数!F13)</f>
        <v>0</v>
      </c>
      <c r="K439" s="4" t="n">
        <f aca="false">偿债原表!F2</f>
        <v>0</v>
      </c>
      <c r="L439" s="4" t="n">
        <f aca="false">偿债原表!G2</f>
        <v>1374.2</v>
      </c>
      <c r="M439" s="4" t="n">
        <f aca="false">K439+L439</f>
        <v>1374.2</v>
      </c>
      <c r="N439" s="4" t="n">
        <f aca="false">J439-M439</f>
        <v>-1374.2</v>
      </c>
      <c r="O439" s="4" t="n">
        <f aca="false">N439</f>
        <v>-1374.2</v>
      </c>
      <c r="P439" s="4" t="n">
        <f aca="false">MAX(0,-N439)</f>
        <v>1374.2</v>
      </c>
      <c r="Q439" s="4" t="n">
        <f aca="false">P439</f>
        <v>1374.2</v>
      </c>
      <c r="R439" s="4" t="n">
        <f aca="false">O439+Q439</f>
        <v>0</v>
      </c>
    </row>
    <row r="440" customFormat="false" ht="15" hidden="false" customHeight="false" outlineLevel="0" collapsed="false">
      <c r="A440" s="2" t="s">
        <v>51</v>
      </c>
      <c r="B440" s="2" t="s">
        <v>40</v>
      </c>
      <c r="C440" s="12" t="n">
        <v>1</v>
      </c>
      <c r="D440" s="12" t="n">
        <v>2024</v>
      </c>
      <c r="E440" s="4" t="n">
        <f aca="false">INDEX(驱动复算!A2:X2,1,情景参数!B13)</f>
        <v>0</v>
      </c>
      <c r="F440" s="4" t="n">
        <f aca="false">E440*(1-情景参数!D13)</f>
        <v>0</v>
      </c>
      <c r="G440" s="4" t="n">
        <f aca="false">IF(情景参数!E13="原表",驱动复算!U2-驱动复算!W2,驱动复算!P2)</f>
        <v>0</v>
      </c>
      <c r="H440" s="4" t="n">
        <f aca="false">IF(情景参数!E13="原表",驱动复算!W2,F440*情景参数!C13)</f>
        <v>0</v>
      </c>
      <c r="I440" s="4" t="n">
        <f aca="false">IF(情景参数!E13="原表",驱动复算!U2,G440+H440)</f>
        <v>0</v>
      </c>
      <c r="J440" s="4" t="n">
        <f aca="false">(F440-I440)*(1-情景参数!F13)</f>
        <v>0</v>
      </c>
      <c r="K440" s="4" t="n">
        <f aca="false">偿债原表!F3</f>
        <v>0</v>
      </c>
      <c r="L440" s="4" t="n">
        <f aca="false">偿债原表!G3</f>
        <v>1107.58</v>
      </c>
      <c r="M440" s="4" t="n">
        <f aca="false">K440+L440</f>
        <v>1107.58</v>
      </c>
      <c r="N440" s="4" t="n">
        <f aca="false">J440-M440</f>
        <v>-1107.58</v>
      </c>
      <c r="O440" s="4" t="n">
        <f aca="false">O439+N440</f>
        <v>-2481.78</v>
      </c>
      <c r="P440" s="4" t="n">
        <f aca="false">MAX(0,-(R439+N440))</f>
        <v>1107.58</v>
      </c>
      <c r="Q440" s="4" t="n">
        <f aca="false">Q439+P440</f>
        <v>2481.78</v>
      </c>
      <c r="R440" s="4" t="n">
        <f aca="false">O440+Q440</f>
        <v>0</v>
      </c>
    </row>
    <row r="441" customFormat="false" ht="15" hidden="false" customHeight="false" outlineLevel="0" collapsed="false">
      <c r="A441" s="2" t="s">
        <v>51</v>
      </c>
      <c r="B441" s="2" t="s">
        <v>40</v>
      </c>
      <c r="C441" s="12" t="n">
        <v>2</v>
      </c>
      <c r="D441" s="12" t="n">
        <v>2025</v>
      </c>
      <c r="E441" s="4" t="n">
        <f aca="false">INDEX(驱动复算!A3:X3,1,情景参数!B13)</f>
        <v>0</v>
      </c>
      <c r="F441" s="4" t="n">
        <f aca="false">E441*(1-情景参数!D13)</f>
        <v>0</v>
      </c>
      <c r="G441" s="4" t="n">
        <f aca="false">IF(情景参数!E13="原表",驱动复算!U3-驱动复算!W3,驱动复算!P3)</f>
        <v>0</v>
      </c>
      <c r="H441" s="4" t="n">
        <f aca="false">IF(情景参数!E13="原表",驱动复算!W3,F441*情景参数!C13)</f>
        <v>0</v>
      </c>
      <c r="I441" s="4" t="n">
        <f aca="false">IF(情景参数!E13="原表",驱动复算!U3,G441+H441)</f>
        <v>0</v>
      </c>
      <c r="J441" s="4" t="n">
        <f aca="false">(F441-I441)*(1-情景参数!F13)</f>
        <v>0</v>
      </c>
      <c r="K441" s="4" t="n">
        <f aca="false">偿债原表!F4</f>
        <v>0</v>
      </c>
      <c r="L441" s="4" t="n">
        <f aca="false">偿债原表!G4</f>
        <v>1107.58</v>
      </c>
      <c r="M441" s="4" t="n">
        <f aca="false">K441+L441</f>
        <v>1107.58</v>
      </c>
      <c r="N441" s="4" t="n">
        <f aca="false">J441-M441</f>
        <v>-1107.58</v>
      </c>
      <c r="O441" s="4" t="n">
        <f aca="false">O440+N441</f>
        <v>-3589.36</v>
      </c>
      <c r="P441" s="4" t="n">
        <f aca="false">MAX(0,-(R440+N441))</f>
        <v>1107.58</v>
      </c>
      <c r="Q441" s="4" t="n">
        <f aca="false">Q440+P441</f>
        <v>3589.36</v>
      </c>
      <c r="R441" s="4" t="n">
        <f aca="false">O441+Q441</f>
        <v>0</v>
      </c>
    </row>
    <row r="442" customFormat="false" ht="15" hidden="false" customHeight="false" outlineLevel="0" collapsed="false">
      <c r="A442" s="2" t="s">
        <v>51</v>
      </c>
      <c r="B442" s="2" t="s">
        <v>40</v>
      </c>
      <c r="C442" s="12" t="n">
        <v>3</v>
      </c>
      <c r="D442" s="12" t="n">
        <v>2026</v>
      </c>
      <c r="E442" s="4" t="n">
        <f aca="false">INDEX(驱动复算!A4:X4,1,情景参数!B13)</f>
        <v>0</v>
      </c>
      <c r="F442" s="4" t="n">
        <f aca="false">E442*(1-情景参数!D13)</f>
        <v>0</v>
      </c>
      <c r="G442" s="4" t="n">
        <f aca="false">IF(情景参数!E13="原表",驱动复算!U4-驱动复算!W4,驱动复算!P4)</f>
        <v>0</v>
      </c>
      <c r="H442" s="4" t="n">
        <f aca="false">IF(情景参数!E13="原表",驱动复算!W4,F442*情景参数!C13)</f>
        <v>0</v>
      </c>
      <c r="I442" s="4" t="n">
        <f aca="false">IF(情景参数!E13="原表",驱动复算!U4,G442+H442)</f>
        <v>0</v>
      </c>
      <c r="J442" s="4" t="n">
        <f aca="false">(F442-I442)*(1-情景参数!F13)</f>
        <v>0</v>
      </c>
      <c r="K442" s="4" t="n">
        <f aca="false">偿债原表!F5</f>
        <v>0</v>
      </c>
      <c r="L442" s="4" t="n">
        <f aca="false">偿债原表!G5</f>
        <v>1107.58</v>
      </c>
      <c r="M442" s="4" t="n">
        <f aca="false">K442+L442</f>
        <v>1107.58</v>
      </c>
      <c r="N442" s="4" t="n">
        <f aca="false">J442-M442</f>
        <v>-1107.58</v>
      </c>
      <c r="O442" s="4" t="n">
        <f aca="false">O441+N442</f>
        <v>-4696.94</v>
      </c>
      <c r="P442" s="4" t="n">
        <f aca="false">MAX(0,-(R441+N442))</f>
        <v>1107.58</v>
      </c>
      <c r="Q442" s="4" t="n">
        <f aca="false">Q441+P442</f>
        <v>4696.94</v>
      </c>
      <c r="R442" s="4" t="n">
        <f aca="false">O442+Q442</f>
        <v>0</v>
      </c>
    </row>
    <row r="443" customFormat="false" ht="15" hidden="false" customHeight="false" outlineLevel="0" collapsed="false">
      <c r="A443" s="2" t="s">
        <v>51</v>
      </c>
      <c r="B443" s="2" t="s">
        <v>40</v>
      </c>
      <c r="C443" s="12" t="n">
        <v>4</v>
      </c>
      <c r="D443" s="12" t="n">
        <v>2027</v>
      </c>
      <c r="E443" s="4" t="n">
        <f aca="false">INDEX(驱动复算!A5:X5,1,情景参数!B13)</f>
        <v>0</v>
      </c>
      <c r="F443" s="4" t="n">
        <f aca="false">E443*(1-情景参数!D13)</f>
        <v>0</v>
      </c>
      <c r="G443" s="4" t="n">
        <f aca="false">IF(情景参数!E13="原表",驱动复算!U5-驱动复算!W5,驱动复算!P5)</f>
        <v>0</v>
      </c>
      <c r="H443" s="4" t="n">
        <f aca="false">IF(情景参数!E13="原表",驱动复算!W5,F443*情景参数!C13)</f>
        <v>0</v>
      </c>
      <c r="I443" s="4" t="n">
        <f aca="false">IF(情景参数!E13="原表",驱动复算!U5,G443+H443)</f>
        <v>0</v>
      </c>
      <c r="J443" s="4" t="n">
        <f aca="false">(F443-I443)*(1-情景参数!F13)</f>
        <v>0</v>
      </c>
      <c r="K443" s="4" t="n">
        <f aca="false">偿债原表!F6</f>
        <v>0</v>
      </c>
      <c r="L443" s="4" t="n">
        <f aca="false">偿债原表!G6</f>
        <v>1107.58</v>
      </c>
      <c r="M443" s="4" t="n">
        <f aca="false">K443+L443</f>
        <v>1107.58</v>
      </c>
      <c r="N443" s="4" t="n">
        <f aca="false">J443-M443</f>
        <v>-1107.58</v>
      </c>
      <c r="O443" s="4" t="n">
        <f aca="false">O442+N443</f>
        <v>-5804.52</v>
      </c>
      <c r="P443" s="4" t="n">
        <f aca="false">MAX(0,-(R442+N443))</f>
        <v>1107.58</v>
      </c>
      <c r="Q443" s="4" t="n">
        <f aca="false">Q442+P443</f>
        <v>5804.52</v>
      </c>
      <c r="R443" s="4" t="n">
        <f aca="false">O443+Q443</f>
        <v>0</v>
      </c>
    </row>
    <row r="444" customFormat="false" ht="15" hidden="false" customHeight="false" outlineLevel="0" collapsed="false">
      <c r="A444" s="2" t="s">
        <v>51</v>
      </c>
      <c r="B444" s="2" t="s">
        <v>40</v>
      </c>
      <c r="C444" s="12" t="n">
        <v>5</v>
      </c>
      <c r="D444" s="12" t="n">
        <v>2028</v>
      </c>
      <c r="E444" s="4" t="n">
        <f aca="false">INDEX(驱动复算!A6:X6,1,情景参数!B13)</f>
        <v>9234.58</v>
      </c>
      <c r="F444" s="4" t="n">
        <f aca="false">E444*(1-情景参数!D13)</f>
        <v>8772.851</v>
      </c>
      <c r="G444" s="4" t="n">
        <f aca="false">IF(情景参数!E13="原表",驱动复算!U6-驱动复算!W6,驱动复算!P6)</f>
        <v>7355</v>
      </c>
      <c r="H444" s="4" t="n">
        <f aca="false">IF(情景参数!E13="原表",驱动复算!W6,F444*情景参数!C13)</f>
        <v>438.64255</v>
      </c>
      <c r="I444" s="4" t="n">
        <f aca="false">IF(情景参数!E13="原表",驱动复算!U6,G444+H444)</f>
        <v>7793.64255</v>
      </c>
      <c r="J444" s="4" t="n">
        <f aca="false">(F444-I444)*(1-情景参数!F13)</f>
        <v>979.208449999999</v>
      </c>
      <c r="K444" s="4" t="n">
        <f aca="false">偿债原表!F7</f>
        <v>1400</v>
      </c>
      <c r="L444" s="4" t="n">
        <f aca="false">偿债原表!G7</f>
        <v>1107.58</v>
      </c>
      <c r="M444" s="4" t="n">
        <f aca="false">K444+L444</f>
        <v>2507.58</v>
      </c>
      <c r="N444" s="4" t="n">
        <f aca="false">J444-M444</f>
        <v>-1528.37155</v>
      </c>
      <c r="O444" s="4" t="n">
        <f aca="false">O443+N444</f>
        <v>-7332.89155</v>
      </c>
      <c r="P444" s="4" t="n">
        <f aca="false">MAX(0,-(R443+N444))</f>
        <v>1528.37155</v>
      </c>
      <c r="Q444" s="4" t="n">
        <f aca="false">Q443+P444</f>
        <v>7332.89155</v>
      </c>
      <c r="R444" s="4" t="n">
        <f aca="false">O444+Q444</f>
        <v>0</v>
      </c>
    </row>
    <row r="445" customFormat="false" ht="15" hidden="false" customHeight="false" outlineLevel="0" collapsed="false">
      <c r="A445" s="2" t="s">
        <v>51</v>
      </c>
      <c r="B445" s="2" t="s">
        <v>40</v>
      </c>
      <c r="C445" s="12" t="n">
        <v>6</v>
      </c>
      <c r="D445" s="12" t="n">
        <v>2029</v>
      </c>
      <c r="E445" s="4" t="n">
        <f aca="false">INDEX(驱动复算!A7:X7,1,情景参数!B13)</f>
        <v>10123.19</v>
      </c>
      <c r="F445" s="4" t="n">
        <f aca="false">E445*(1-情景参数!D13)</f>
        <v>9617.0305</v>
      </c>
      <c r="G445" s="4" t="n">
        <f aca="false">IF(情景参数!E13="原表",驱动复算!U7-驱动复算!W7,驱动复算!P7)</f>
        <v>7575.65</v>
      </c>
      <c r="H445" s="4" t="n">
        <f aca="false">IF(情景参数!E13="原表",驱动复算!W7,F445*情景参数!C13)</f>
        <v>480.851525</v>
      </c>
      <c r="I445" s="4" t="n">
        <f aca="false">IF(情景参数!E13="原表",驱动复算!U7,G445+H445)</f>
        <v>8056.501525</v>
      </c>
      <c r="J445" s="4" t="n">
        <f aca="false">(F445-I445)*(1-情景参数!F13)</f>
        <v>1560.528975</v>
      </c>
      <c r="K445" s="4" t="n">
        <f aca="false">偿债原表!F8</f>
        <v>0</v>
      </c>
      <c r="L445" s="4" t="n">
        <f aca="false">偿债原表!G8</f>
        <v>1075.8</v>
      </c>
      <c r="M445" s="4" t="n">
        <f aca="false">K445+L445</f>
        <v>1075.8</v>
      </c>
      <c r="N445" s="4" t="n">
        <f aca="false">J445-M445</f>
        <v>484.728975</v>
      </c>
      <c r="O445" s="4" t="n">
        <f aca="false">O444+N445</f>
        <v>-6848.162575</v>
      </c>
      <c r="P445" s="4" t="n">
        <f aca="false">MAX(0,-(R444+N445))</f>
        <v>0</v>
      </c>
      <c r="Q445" s="4" t="n">
        <f aca="false">Q444+P445</f>
        <v>7332.89155</v>
      </c>
      <c r="R445" s="4" t="n">
        <f aca="false">O445+Q445</f>
        <v>484.728975</v>
      </c>
    </row>
    <row r="446" customFormat="false" ht="15" hidden="false" customHeight="false" outlineLevel="0" collapsed="false">
      <c r="A446" s="2" t="s">
        <v>51</v>
      </c>
      <c r="B446" s="2" t="s">
        <v>40</v>
      </c>
      <c r="C446" s="12" t="n">
        <v>7</v>
      </c>
      <c r="D446" s="12" t="n">
        <v>2030</v>
      </c>
      <c r="E446" s="4" t="n">
        <f aca="false">INDEX(驱动复算!A8:X8,1,情景参数!B13)</f>
        <v>11041.69</v>
      </c>
      <c r="F446" s="4" t="n">
        <f aca="false">E446*(1-情景参数!D13)</f>
        <v>10489.6055</v>
      </c>
      <c r="G446" s="4" t="n">
        <f aca="false">IF(情景参数!E13="原表",驱动复算!U8-驱动复算!W8,驱动复算!P8)</f>
        <v>7802.9195</v>
      </c>
      <c r="H446" s="4" t="n">
        <f aca="false">IF(情景参数!E13="原表",驱动复算!W8,F446*情景参数!C13)</f>
        <v>524.480275</v>
      </c>
      <c r="I446" s="4" t="n">
        <f aca="false">IF(情景参数!E13="原表",驱动复算!U8,G446+H446)</f>
        <v>8327.399775</v>
      </c>
      <c r="J446" s="4" t="n">
        <f aca="false">(F446-I446)*(1-情景参数!F13)</f>
        <v>2162.205725</v>
      </c>
      <c r="K446" s="4" t="n">
        <f aca="false">偿债原表!F9</f>
        <v>0</v>
      </c>
      <c r="L446" s="4" t="n">
        <f aca="false">偿债原表!G9</f>
        <v>1075.8</v>
      </c>
      <c r="M446" s="4" t="n">
        <f aca="false">K446+L446</f>
        <v>1075.8</v>
      </c>
      <c r="N446" s="4" t="n">
        <f aca="false">J446-M446</f>
        <v>1086.405725</v>
      </c>
      <c r="O446" s="4" t="n">
        <f aca="false">O445+N446</f>
        <v>-5761.75685</v>
      </c>
      <c r="P446" s="4" t="n">
        <f aca="false">MAX(0,-(R445+N446))</f>
        <v>0</v>
      </c>
      <c r="Q446" s="4" t="n">
        <f aca="false">Q445+P446</f>
        <v>7332.89155</v>
      </c>
      <c r="R446" s="4" t="n">
        <f aca="false">O446+Q446</f>
        <v>1571.1347</v>
      </c>
    </row>
    <row r="447" customFormat="false" ht="15" hidden="false" customHeight="false" outlineLevel="0" collapsed="false">
      <c r="A447" s="2" t="s">
        <v>51</v>
      </c>
      <c r="B447" s="2" t="s">
        <v>40</v>
      </c>
      <c r="C447" s="12" t="n">
        <v>8</v>
      </c>
      <c r="D447" s="12" t="n">
        <v>2031</v>
      </c>
      <c r="E447" s="4" t="n">
        <f aca="false">INDEX(驱动复算!A9:X9,1,情景参数!B13)</f>
        <v>12052.04</v>
      </c>
      <c r="F447" s="4" t="n">
        <f aca="false">E447*(1-情景参数!D13)</f>
        <v>11449.438</v>
      </c>
      <c r="G447" s="4" t="n">
        <f aca="false">IF(情景参数!E13="原表",驱动复算!U9-驱动复算!W9,驱动复算!P9)</f>
        <v>8037.007085</v>
      </c>
      <c r="H447" s="4" t="n">
        <f aca="false">IF(情景参数!E13="原表",驱动复算!W9,F447*情景参数!C13)</f>
        <v>572.4719</v>
      </c>
      <c r="I447" s="4" t="n">
        <f aca="false">IF(情景参数!E13="原表",驱动复算!U9,G447+H447)</f>
        <v>8609.478985</v>
      </c>
      <c r="J447" s="4" t="n">
        <f aca="false">(F447-I447)*(1-情景参数!F13)</f>
        <v>2839.959015</v>
      </c>
      <c r="K447" s="4" t="n">
        <f aca="false">偿债原表!F10</f>
        <v>0</v>
      </c>
      <c r="L447" s="4" t="n">
        <f aca="false">偿债原表!G10</f>
        <v>1075.8</v>
      </c>
      <c r="M447" s="4" t="n">
        <f aca="false">K447+L447</f>
        <v>1075.8</v>
      </c>
      <c r="N447" s="4" t="n">
        <f aca="false">J447-M447</f>
        <v>1764.159015</v>
      </c>
      <c r="O447" s="4" t="n">
        <f aca="false">O446+N447</f>
        <v>-3997.597835</v>
      </c>
      <c r="P447" s="4" t="n">
        <f aca="false">MAX(0,-(R446+N447))</f>
        <v>0</v>
      </c>
      <c r="Q447" s="4" t="n">
        <f aca="false">Q446+P447</f>
        <v>7332.89155</v>
      </c>
      <c r="R447" s="4" t="n">
        <f aca="false">O447+Q447</f>
        <v>3335.293715</v>
      </c>
    </row>
    <row r="448" customFormat="false" ht="15" hidden="false" customHeight="false" outlineLevel="0" collapsed="false">
      <c r="A448" s="2" t="s">
        <v>51</v>
      </c>
      <c r="B448" s="2" t="s">
        <v>40</v>
      </c>
      <c r="C448" s="12" t="n">
        <v>9</v>
      </c>
      <c r="D448" s="12" t="n">
        <v>2032</v>
      </c>
      <c r="E448" s="4" t="n">
        <f aca="false">INDEX(驱动复算!A10:X10,1,情景参数!B13)</f>
        <v>13163.43</v>
      </c>
      <c r="F448" s="4" t="n">
        <f aca="false">E448*(1-情景参数!D13)</f>
        <v>12505.2585</v>
      </c>
      <c r="G448" s="4" t="n">
        <f aca="false">IF(情景参数!E13="原表",驱动复算!U10-驱动复算!W10,驱动复算!P10)</f>
        <v>8278.11729755</v>
      </c>
      <c r="H448" s="4" t="n">
        <f aca="false">IF(情景参数!E13="原表",驱动复算!W10,F448*情景参数!C13)</f>
        <v>625.262925</v>
      </c>
      <c r="I448" s="4" t="n">
        <f aca="false">IF(情景参数!E13="原表",驱动复算!U10,G448+H448)</f>
        <v>8903.38022255</v>
      </c>
      <c r="J448" s="4" t="n">
        <f aca="false">(F448-I448)*(1-情景参数!F13)</f>
        <v>3601.87827745</v>
      </c>
      <c r="K448" s="4" t="n">
        <f aca="false">偿债原表!F11</f>
        <v>2000</v>
      </c>
      <c r="L448" s="4" t="n">
        <f aca="false">偿债原表!G11</f>
        <v>1075.8</v>
      </c>
      <c r="M448" s="4" t="n">
        <f aca="false">K448+L448</f>
        <v>3075.8</v>
      </c>
      <c r="N448" s="4" t="n">
        <f aca="false">J448-M448</f>
        <v>526.078277449999</v>
      </c>
      <c r="O448" s="4" t="n">
        <f aca="false">O447+N448</f>
        <v>-3471.51955755</v>
      </c>
      <c r="P448" s="4" t="n">
        <f aca="false">MAX(0,-(R447+N448))</f>
        <v>0</v>
      </c>
      <c r="Q448" s="4" t="n">
        <f aca="false">Q447+P448</f>
        <v>7332.89155</v>
      </c>
      <c r="R448" s="4" t="n">
        <f aca="false">O448+Q448</f>
        <v>3861.37199245</v>
      </c>
    </row>
    <row r="449" customFormat="false" ht="15" hidden="false" customHeight="false" outlineLevel="0" collapsed="false">
      <c r="A449" s="2" t="s">
        <v>51</v>
      </c>
      <c r="B449" s="2" t="s">
        <v>40</v>
      </c>
      <c r="C449" s="12" t="n">
        <v>10</v>
      </c>
      <c r="D449" s="12" t="n">
        <v>2033</v>
      </c>
      <c r="E449" s="4" t="n">
        <f aca="false">INDEX(驱动复算!A11:X11,1,情景参数!B13)</f>
        <v>14139.86</v>
      </c>
      <c r="F449" s="4" t="n">
        <f aca="false">E449*(1-情景参数!D13)</f>
        <v>13432.867</v>
      </c>
      <c r="G449" s="4" t="n">
        <f aca="false">IF(情景参数!E13="原表",驱动复算!U11-驱动复算!W11,驱动复算!P11)</f>
        <v>8526.4608164765</v>
      </c>
      <c r="H449" s="4" t="n">
        <f aca="false">IF(情景参数!E13="原表",驱动复算!W11,F449*情景参数!C13)</f>
        <v>671.64335</v>
      </c>
      <c r="I449" s="4" t="n">
        <f aca="false">IF(情景参数!E13="原表",驱动复算!U11,G449+H449)</f>
        <v>9198.1041664765</v>
      </c>
      <c r="J449" s="4" t="n">
        <f aca="false">(F449-I449)*(1-情景参数!F13)</f>
        <v>4234.7628335235</v>
      </c>
      <c r="K449" s="4" t="n">
        <f aca="false">偿债原表!F12</f>
        <v>9600</v>
      </c>
      <c r="L449" s="4" t="n">
        <f aca="false">偿债原表!G12</f>
        <v>1018.8</v>
      </c>
      <c r="M449" s="4" t="n">
        <f aca="false">K449+L449</f>
        <v>10618.8</v>
      </c>
      <c r="N449" s="4" t="n">
        <f aca="false">J449-M449</f>
        <v>-6384.0371664765</v>
      </c>
      <c r="O449" s="4" t="n">
        <f aca="false">O448+N449</f>
        <v>-9855.5567240265</v>
      </c>
      <c r="P449" s="4" t="n">
        <f aca="false">MAX(0,-(R448+N449))</f>
        <v>2522.6651740265</v>
      </c>
      <c r="Q449" s="4" t="n">
        <f aca="false">Q448+P449</f>
        <v>9855.5567240265</v>
      </c>
      <c r="R449" s="4" t="n">
        <f aca="false">O449+Q449</f>
        <v>0</v>
      </c>
    </row>
    <row r="450" customFormat="false" ht="15" hidden="false" customHeight="false" outlineLevel="0" collapsed="false">
      <c r="A450" s="2" t="s">
        <v>51</v>
      </c>
      <c r="B450" s="2" t="s">
        <v>40</v>
      </c>
      <c r="C450" s="12" t="n">
        <v>11</v>
      </c>
      <c r="D450" s="12" t="n">
        <v>2034</v>
      </c>
      <c r="E450" s="4" t="n">
        <f aca="false">INDEX(驱动复算!A12:X12,1,情景参数!B13)</f>
        <v>14781.69</v>
      </c>
      <c r="F450" s="4" t="n">
        <f aca="false">E450*(1-情景参数!D13)</f>
        <v>14042.6055</v>
      </c>
      <c r="G450" s="4" t="n">
        <f aca="false">IF(情景参数!E13="原表",驱动复算!U12-驱动复算!W12,驱动复算!P12)</f>
        <v>8782.2546409708</v>
      </c>
      <c r="H450" s="4" t="n">
        <f aca="false">IF(情景参数!E13="原表",驱动复算!W12,F450*情景参数!C13)</f>
        <v>702.130275</v>
      </c>
      <c r="I450" s="4" t="n">
        <f aca="false">IF(情景参数!E13="原表",驱动复算!U12,G450+H450)</f>
        <v>9484.3849159708</v>
      </c>
      <c r="J450" s="4" t="n">
        <f aca="false">(F450-I450)*(1-情景参数!F13)</f>
        <v>4558.2205840292</v>
      </c>
      <c r="K450" s="4" t="n">
        <f aca="false">偿债原表!F13</f>
        <v>0</v>
      </c>
      <c r="L450" s="4" t="n">
        <f aca="false">偿债原表!G13</f>
        <v>673.2</v>
      </c>
      <c r="M450" s="4" t="n">
        <f aca="false">K450+L450</f>
        <v>673.2</v>
      </c>
      <c r="N450" s="4" t="n">
        <f aca="false">J450-M450</f>
        <v>3885.0205840292</v>
      </c>
      <c r="O450" s="4" t="n">
        <f aca="false">O449+N450</f>
        <v>-5970.5361399973</v>
      </c>
      <c r="P450" s="4" t="n">
        <f aca="false">MAX(0,-(R449+N450))</f>
        <v>0</v>
      </c>
      <c r="Q450" s="4" t="n">
        <f aca="false">Q449+P450</f>
        <v>9855.5567240265</v>
      </c>
      <c r="R450" s="4" t="n">
        <f aca="false">O450+Q450</f>
        <v>3885.0205840292</v>
      </c>
    </row>
    <row r="451" customFormat="false" ht="15" hidden="false" customHeight="false" outlineLevel="0" collapsed="false">
      <c r="A451" s="2" t="s">
        <v>51</v>
      </c>
      <c r="B451" s="2" t="s">
        <v>40</v>
      </c>
      <c r="C451" s="12" t="n">
        <v>12</v>
      </c>
      <c r="D451" s="12" t="n">
        <v>2035</v>
      </c>
      <c r="E451" s="4" t="n">
        <f aca="false">INDEX(驱动复算!A13:X13,1,情景参数!B13)</f>
        <v>15455.6</v>
      </c>
      <c r="F451" s="4" t="n">
        <f aca="false">E451*(1-情景参数!D13)</f>
        <v>14682.82</v>
      </c>
      <c r="G451" s="4" t="n">
        <f aca="false">IF(情景参数!E13="原表",驱动复算!U13-驱动复算!W13,驱动复算!P13)</f>
        <v>9045.72228019992</v>
      </c>
      <c r="H451" s="4" t="n">
        <f aca="false">IF(情景参数!E13="原表",驱动复算!W13,F451*情景参数!C13)</f>
        <v>734.141</v>
      </c>
      <c r="I451" s="4" t="n">
        <f aca="false">IF(情景参数!E13="原表",驱动复算!U13,G451+H451)</f>
        <v>9779.86328019992</v>
      </c>
      <c r="J451" s="4" t="n">
        <f aca="false">(F451-I451)*(1-情景参数!F13)</f>
        <v>4902.95671980008</v>
      </c>
      <c r="K451" s="4" t="n">
        <f aca="false">偿债原表!F14</f>
        <v>0</v>
      </c>
      <c r="L451" s="4" t="n">
        <f aca="false">偿债原表!G14</f>
        <v>673.2</v>
      </c>
      <c r="M451" s="4" t="n">
        <f aca="false">K451+L451</f>
        <v>673.2</v>
      </c>
      <c r="N451" s="4" t="n">
        <f aca="false">J451-M451</f>
        <v>4229.75671980008</v>
      </c>
      <c r="O451" s="4" t="n">
        <f aca="false">O450+N451</f>
        <v>-1740.77942019722</v>
      </c>
      <c r="P451" s="4" t="n">
        <f aca="false">MAX(0,-(R450+N451))</f>
        <v>0</v>
      </c>
      <c r="Q451" s="4" t="n">
        <f aca="false">Q450+P451</f>
        <v>9855.5567240265</v>
      </c>
      <c r="R451" s="4" t="n">
        <f aca="false">O451+Q451</f>
        <v>8114.77730382929</v>
      </c>
    </row>
    <row r="452" customFormat="false" ht="15" hidden="false" customHeight="false" outlineLevel="0" collapsed="false">
      <c r="A452" s="2" t="s">
        <v>51</v>
      </c>
      <c r="B452" s="2" t="s">
        <v>40</v>
      </c>
      <c r="C452" s="12" t="n">
        <v>13</v>
      </c>
      <c r="D452" s="12" t="n">
        <v>2036</v>
      </c>
      <c r="E452" s="4" t="n">
        <f aca="false">INDEX(驱动复算!A14:X14,1,情景参数!B13)</f>
        <v>16163.21</v>
      </c>
      <c r="F452" s="4" t="n">
        <f aca="false">E452*(1-情景参数!D13)</f>
        <v>15355.0495</v>
      </c>
      <c r="G452" s="4" t="n">
        <f aca="false">IF(情景参数!E13="原表",驱动复算!U14-驱动复算!W14,驱动复算!P14)</f>
        <v>9317.09394860592</v>
      </c>
      <c r="H452" s="4" t="n">
        <f aca="false">IF(情景参数!E13="原表",驱动复算!W14,F452*情景参数!C13)</f>
        <v>767.752475</v>
      </c>
      <c r="I452" s="4" t="n">
        <f aca="false">IF(情景参数!E13="原表",驱动复算!U14,G452+H452)</f>
        <v>10084.8464236059</v>
      </c>
      <c r="J452" s="4" t="n">
        <f aca="false">(F452-I452)*(1-情景参数!F13)</f>
        <v>5270.20307639408</v>
      </c>
      <c r="K452" s="4" t="n">
        <f aca="false">偿债原表!F15</f>
        <v>0</v>
      </c>
      <c r="L452" s="4" t="n">
        <f aca="false">偿债原表!G15</f>
        <v>673.2</v>
      </c>
      <c r="M452" s="4" t="n">
        <f aca="false">K452+L452</f>
        <v>673.2</v>
      </c>
      <c r="N452" s="4" t="n">
        <f aca="false">J452-M452</f>
        <v>4597.00307639408</v>
      </c>
      <c r="O452" s="4" t="n">
        <f aca="false">O451+N452</f>
        <v>2856.22365619687</v>
      </c>
      <c r="P452" s="4" t="n">
        <f aca="false">MAX(0,-(R451+N452))</f>
        <v>0</v>
      </c>
      <c r="Q452" s="4" t="n">
        <f aca="false">Q451+P452</f>
        <v>9855.5567240265</v>
      </c>
      <c r="R452" s="4" t="n">
        <f aca="false">O452+Q452</f>
        <v>12711.7803802234</v>
      </c>
    </row>
    <row r="453" customFormat="false" ht="15" hidden="false" customHeight="false" outlineLevel="0" collapsed="false">
      <c r="A453" s="2" t="s">
        <v>51</v>
      </c>
      <c r="B453" s="2" t="s">
        <v>40</v>
      </c>
      <c r="C453" s="12" t="n">
        <v>14</v>
      </c>
      <c r="D453" s="12" t="n">
        <v>2037</v>
      </c>
      <c r="E453" s="4" t="n">
        <f aca="false">INDEX(驱动复算!A15:X15,1,情景参数!B13)</f>
        <v>16906.2</v>
      </c>
      <c r="F453" s="4" t="n">
        <f aca="false">E453*(1-情景参数!D13)</f>
        <v>16060.89</v>
      </c>
      <c r="G453" s="4" t="n">
        <f aca="false">IF(情景参数!E13="原表",驱动复算!U15-驱动复算!W15,驱动复算!P15)</f>
        <v>9596.6067670641</v>
      </c>
      <c r="H453" s="4" t="n">
        <f aca="false">IF(情景参数!E13="原表",驱动复算!W15,F453*情景参数!C13)</f>
        <v>803.0445</v>
      </c>
      <c r="I453" s="4" t="n">
        <f aca="false">IF(情景参数!E13="原表",驱动复算!U15,G453+H453)</f>
        <v>10399.6512670641</v>
      </c>
      <c r="J453" s="4" t="n">
        <f aca="false">(F453-I453)*(1-情景参数!F13)</f>
        <v>5661.2387329359</v>
      </c>
      <c r="K453" s="4" t="n">
        <f aca="false">偿债原表!F16</f>
        <v>1000</v>
      </c>
      <c r="L453" s="4" t="n">
        <f aca="false">偿债原表!G16</f>
        <v>673.2</v>
      </c>
      <c r="M453" s="4" t="n">
        <f aca="false">K453+L453</f>
        <v>1673.2</v>
      </c>
      <c r="N453" s="4" t="n">
        <f aca="false">J453-M453</f>
        <v>3988.0387329359</v>
      </c>
      <c r="O453" s="4" t="n">
        <f aca="false">O452+N453</f>
        <v>6844.26238913277</v>
      </c>
      <c r="P453" s="4" t="n">
        <f aca="false">MAX(0,-(R452+N453))</f>
        <v>0</v>
      </c>
      <c r="Q453" s="4" t="n">
        <f aca="false">Q452+P453</f>
        <v>9855.5567240265</v>
      </c>
      <c r="R453" s="4" t="n">
        <f aca="false">O453+Q453</f>
        <v>16699.8191131593</v>
      </c>
    </row>
    <row r="454" customFormat="false" ht="15" hidden="false" customHeight="false" outlineLevel="0" collapsed="false">
      <c r="A454" s="2" t="s">
        <v>51</v>
      </c>
      <c r="B454" s="2" t="s">
        <v>40</v>
      </c>
      <c r="C454" s="12" t="n">
        <v>15</v>
      </c>
      <c r="D454" s="12" t="n">
        <v>2038</v>
      </c>
      <c r="E454" s="4" t="n">
        <f aca="false">INDEX(驱动复算!A16:X16,1,情景参数!B13)</f>
        <v>17546.68</v>
      </c>
      <c r="F454" s="4" t="n">
        <f aca="false">E454*(1-情景参数!D13)</f>
        <v>16669.346</v>
      </c>
      <c r="G454" s="4" t="n">
        <f aca="false">IF(情景参数!E13="原表",驱动复算!U16-驱动复算!W16,驱动复算!P16)</f>
        <v>9884.50497007602</v>
      </c>
      <c r="H454" s="4" t="n">
        <f aca="false">IF(情景参数!E13="原表",驱动复算!W16,F454*情景参数!C13)</f>
        <v>833.4673</v>
      </c>
      <c r="I454" s="4" t="n">
        <f aca="false">IF(情景参数!E13="原表",驱动复算!U16,G454+H454)</f>
        <v>10717.972270076</v>
      </c>
      <c r="J454" s="4" t="n">
        <f aca="false">(F454-I454)*(1-情景参数!F13)</f>
        <v>5951.37372992398</v>
      </c>
      <c r="K454" s="4" t="n">
        <f aca="false">偿债原表!F17</f>
        <v>0</v>
      </c>
      <c r="L454" s="4" t="n">
        <f aca="false">偿债原表!G17</f>
        <v>644</v>
      </c>
      <c r="M454" s="4" t="n">
        <f aca="false">K454+L454</f>
        <v>644</v>
      </c>
      <c r="N454" s="4" t="n">
        <f aca="false">J454-M454</f>
        <v>5307.37372992398</v>
      </c>
      <c r="O454" s="4" t="n">
        <f aca="false">O453+N454</f>
        <v>12151.6361190567</v>
      </c>
      <c r="P454" s="4" t="n">
        <f aca="false">MAX(0,-(R453+N454))</f>
        <v>0</v>
      </c>
      <c r="Q454" s="4" t="n">
        <f aca="false">Q453+P454</f>
        <v>9855.5567240265</v>
      </c>
      <c r="R454" s="4" t="n">
        <f aca="false">O454+Q454</f>
        <v>22007.1928430833</v>
      </c>
    </row>
    <row r="455" customFormat="false" ht="15" hidden="false" customHeight="false" outlineLevel="0" collapsed="false">
      <c r="A455" s="2" t="s">
        <v>51</v>
      </c>
      <c r="B455" s="2" t="s">
        <v>40</v>
      </c>
      <c r="C455" s="12" t="n">
        <v>16</v>
      </c>
      <c r="D455" s="12" t="n">
        <v>2039</v>
      </c>
      <c r="E455" s="4" t="n">
        <f aca="false">INDEX(驱动复算!A17:X17,1,情景参数!B13)</f>
        <v>17864.98</v>
      </c>
      <c r="F455" s="4" t="n">
        <f aca="false">E455*(1-情景参数!D13)</f>
        <v>16971.731</v>
      </c>
      <c r="G455" s="4" t="n">
        <f aca="false">IF(情景参数!E13="原表",驱动复算!U17-驱动复算!W17,驱动复算!P17)</f>
        <v>10181.0401191783</v>
      </c>
      <c r="H455" s="4" t="n">
        <f aca="false">IF(情景参数!E13="原表",驱动复算!W17,F455*情景参数!C13)</f>
        <v>848.58655</v>
      </c>
      <c r="I455" s="4" t="n">
        <f aca="false">IF(情景参数!E13="原表",驱动复算!U17,G455+H455)</f>
        <v>11029.6266691783</v>
      </c>
      <c r="J455" s="4" t="n">
        <f aca="false">(F455-I455)*(1-情景参数!F13)</f>
        <v>5942.1043308217</v>
      </c>
      <c r="K455" s="4" t="n">
        <f aca="false">偿债原表!F18</f>
        <v>0</v>
      </c>
      <c r="L455" s="4" t="n">
        <f aca="false">偿债原表!G18</f>
        <v>644</v>
      </c>
      <c r="M455" s="4" t="n">
        <f aca="false">K455+L455</f>
        <v>644</v>
      </c>
      <c r="N455" s="4" t="n">
        <f aca="false">J455-M455</f>
        <v>5298.1043308217</v>
      </c>
      <c r="O455" s="4" t="n">
        <f aca="false">O454+N455</f>
        <v>17449.7404498784</v>
      </c>
      <c r="P455" s="4" t="n">
        <f aca="false">MAX(0,-(R454+N455))</f>
        <v>0</v>
      </c>
      <c r="Q455" s="4" t="n">
        <f aca="false">Q454+P455</f>
        <v>9855.5567240265</v>
      </c>
      <c r="R455" s="4" t="n">
        <f aca="false">O455+Q455</f>
        <v>27305.2971739049</v>
      </c>
    </row>
    <row r="456" customFormat="false" ht="15" hidden="false" customHeight="false" outlineLevel="0" collapsed="false">
      <c r="A456" s="2" t="s">
        <v>51</v>
      </c>
      <c r="B456" s="2" t="s">
        <v>40</v>
      </c>
      <c r="C456" s="12" t="n">
        <v>17</v>
      </c>
      <c r="D456" s="12" t="n">
        <v>2040</v>
      </c>
      <c r="E456" s="4" t="n">
        <f aca="false">INDEX(驱动复算!A18:X18,1,情景参数!B13)</f>
        <v>18189.64</v>
      </c>
      <c r="F456" s="4" t="n">
        <f aca="false">E456*(1-情景参数!D13)</f>
        <v>17280.158</v>
      </c>
      <c r="G456" s="4" t="n">
        <f aca="false">IF(情景参数!E13="原表",驱动复算!U18-驱动复算!W18,驱动复算!P18)</f>
        <v>10486.4713227536</v>
      </c>
      <c r="H456" s="4" t="n">
        <f aca="false">IF(情景参数!E13="原表",驱动复算!W18,F456*情景参数!C13)</f>
        <v>864.0079</v>
      </c>
      <c r="I456" s="4" t="n">
        <f aca="false">IF(情景参数!E13="原表",驱动复算!U18,G456+H456)</f>
        <v>11350.4792227536</v>
      </c>
      <c r="J456" s="4" t="n">
        <f aca="false">(F456-I456)*(1-情景参数!F13)</f>
        <v>5929.67877724635</v>
      </c>
      <c r="K456" s="4" t="n">
        <f aca="false">偿债原表!F19</f>
        <v>0</v>
      </c>
      <c r="L456" s="4" t="n">
        <f aca="false">偿债原表!G19</f>
        <v>644</v>
      </c>
      <c r="M456" s="4" t="n">
        <f aca="false">K456+L456</f>
        <v>644</v>
      </c>
      <c r="N456" s="4" t="n">
        <f aca="false">J456-M456</f>
        <v>5285.67877724635</v>
      </c>
      <c r="O456" s="4" t="n">
        <f aca="false">O455+N456</f>
        <v>22735.4192271248</v>
      </c>
      <c r="P456" s="4" t="n">
        <f aca="false">MAX(0,-(R455+N456))</f>
        <v>0</v>
      </c>
      <c r="Q456" s="4" t="n">
        <f aca="false">Q455+P456</f>
        <v>9855.5567240265</v>
      </c>
      <c r="R456" s="4" t="n">
        <f aca="false">O456+Q456</f>
        <v>32590.9759511513</v>
      </c>
    </row>
    <row r="457" customFormat="false" ht="15" hidden="false" customHeight="false" outlineLevel="0" collapsed="false">
      <c r="A457" s="2" t="s">
        <v>51</v>
      </c>
      <c r="B457" s="2" t="s">
        <v>40</v>
      </c>
      <c r="C457" s="12" t="n">
        <v>18</v>
      </c>
      <c r="D457" s="12" t="n">
        <v>2041</v>
      </c>
      <c r="E457" s="4" t="n">
        <f aca="false">INDEX(驱动复算!A19:X19,1,情景参数!B13)</f>
        <v>18520.8</v>
      </c>
      <c r="F457" s="4" t="n">
        <f aca="false">E457*(1-情景参数!D13)</f>
        <v>17594.76</v>
      </c>
      <c r="G457" s="4" t="n">
        <f aca="false">IF(情景参数!E13="原表",驱动复算!U19-驱动复算!W19,驱动复算!P19)</f>
        <v>10801.0654624363</v>
      </c>
      <c r="H457" s="4" t="n">
        <f aca="false">IF(情景参数!E13="原表",驱动复算!W19,F457*情景参数!C13)</f>
        <v>879.738</v>
      </c>
      <c r="I457" s="4" t="n">
        <f aca="false">IF(情景参数!E13="原表",驱动复算!U19,G457+H457)</f>
        <v>11680.8034624363</v>
      </c>
      <c r="J457" s="4" t="n">
        <f aca="false">(F457-I457)*(1-情景参数!F13)</f>
        <v>5913.95653756374</v>
      </c>
      <c r="K457" s="4" t="n">
        <f aca="false">偿债原表!F20</f>
        <v>20000</v>
      </c>
      <c r="L457" s="4" t="n">
        <f aca="false">偿债原表!G20</f>
        <v>644</v>
      </c>
      <c r="M457" s="4" t="n">
        <f aca="false">K457+L457</f>
        <v>20644</v>
      </c>
      <c r="N457" s="4" t="n">
        <f aca="false">J457-M457</f>
        <v>-14730.0434624363</v>
      </c>
      <c r="O457" s="4" t="n">
        <f aca="false">O456+N457</f>
        <v>8005.37576468854</v>
      </c>
      <c r="P457" s="4" t="n">
        <f aca="false">MAX(0,-(R456+N457))</f>
        <v>0</v>
      </c>
      <c r="Q457" s="4" t="n">
        <f aca="false">Q456+P457</f>
        <v>9855.5567240265</v>
      </c>
      <c r="R457" s="4" t="n">
        <f aca="false">O457+Q457</f>
        <v>17860.932488715</v>
      </c>
    </row>
    <row r="458" customFormat="false" ht="15" hidden="false" customHeight="false" outlineLevel="0" collapsed="false">
      <c r="A458" s="2" t="s">
        <v>52</v>
      </c>
      <c r="B458" s="2" t="s">
        <v>39</v>
      </c>
      <c r="C458" s="12" t="n">
        <v>0</v>
      </c>
      <c r="D458" s="13" t="s">
        <v>248</v>
      </c>
      <c r="E458" s="4" t="n">
        <f aca="false">0</f>
        <v>0</v>
      </c>
      <c r="F458" s="4" t="n">
        <f aca="false">E458*(1-情景参数!D14)</f>
        <v>0</v>
      </c>
      <c r="G458" s="4" t="n">
        <f aca="false">0</f>
        <v>0</v>
      </c>
      <c r="H458" s="4" t="n">
        <f aca="false">0</f>
        <v>0</v>
      </c>
      <c r="I458" s="4" t="n">
        <f aca="false">0</f>
        <v>0</v>
      </c>
      <c r="J458" s="4" t="n">
        <f aca="false">(F458-I458)*(1-情景参数!F14)</f>
        <v>0</v>
      </c>
      <c r="K458" s="4" t="n">
        <f aca="false">偿债原表!C2</f>
        <v>0</v>
      </c>
      <c r="L458" s="4" t="n">
        <f aca="false">偿债原表!D2</f>
        <v>1374.2</v>
      </c>
      <c r="M458" s="4" t="n">
        <f aca="false">K458+L458</f>
        <v>1374.2</v>
      </c>
      <c r="N458" s="4" t="n">
        <f aca="false">J458-M458</f>
        <v>-1374.2</v>
      </c>
      <c r="O458" s="4" t="n">
        <f aca="false">N458</f>
        <v>-1374.2</v>
      </c>
      <c r="P458" s="4" t="n">
        <f aca="false">MAX(0,-N458)</f>
        <v>1374.2</v>
      </c>
      <c r="Q458" s="4" t="n">
        <f aca="false">P458</f>
        <v>1374.2</v>
      </c>
      <c r="R458" s="4" t="n">
        <f aca="false">O458+Q458</f>
        <v>0</v>
      </c>
    </row>
    <row r="459" customFormat="false" ht="15" hidden="false" customHeight="false" outlineLevel="0" collapsed="false">
      <c r="A459" s="2" t="s">
        <v>52</v>
      </c>
      <c r="B459" s="2" t="s">
        <v>39</v>
      </c>
      <c r="C459" s="12" t="n">
        <v>1</v>
      </c>
      <c r="D459" s="12" t="n">
        <v>2024</v>
      </c>
      <c r="E459" s="4" t="n">
        <f aca="false">INDEX(驱动复算!A2:X2,1,情景参数!B14)</f>
        <v>0</v>
      </c>
      <c r="F459" s="4" t="n">
        <f aca="false">E459*(1-情景参数!D14)</f>
        <v>0</v>
      </c>
      <c r="G459" s="4" t="n">
        <f aca="false">IF(情景参数!E14="原表",驱动复算!U2-驱动复算!W2,驱动复算!P2)</f>
        <v>0</v>
      </c>
      <c r="H459" s="4" t="n">
        <f aca="false">IF(情景参数!E14="原表",驱动复算!W2,F459*情景参数!C14)</f>
        <v>0</v>
      </c>
      <c r="I459" s="4" t="n">
        <f aca="false">IF(情景参数!E14="原表",驱动复算!U2,G459+H459)</f>
        <v>0</v>
      </c>
      <c r="J459" s="4" t="n">
        <f aca="false">(F459-I459)*(1-情景参数!F14)</f>
        <v>0</v>
      </c>
      <c r="K459" s="4" t="n">
        <f aca="false">偿债原表!C3</f>
        <v>0</v>
      </c>
      <c r="L459" s="4" t="n">
        <f aca="false">偿债原表!D3</f>
        <v>1093.2</v>
      </c>
      <c r="M459" s="4" t="n">
        <f aca="false">K459+L459</f>
        <v>1093.2</v>
      </c>
      <c r="N459" s="4" t="n">
        <f aca="false">J459-M459</f>
        <v>-1093.2</v>
      </c>
      <c r="O459" s="4" t="n">
        <f aca="false">O458+N459</f>
        <v>-2467.4</v>
      </c>
      <c r="P459" s="4" t="n">
        <f aca="false">MAX(0,-(R458+N459))</f>
        <v>1093.2</v>
      </c>
      <c r="Q459" s="4" t="n">
        <f aca="false">Q458+P459</f>
        <v>2467.4</v>
      </c>
      <c r="R459" s="4" t="n">
        <f aca="false">O459+Q459</f>
        <v>0</v>
      </c>
    </row>
    <row r="460" customFormat="false" ht="15" hidden="false" customHeight="false" outlineLevel="0" collapsed="false">
      <c r="A460" s="2" t="s">
        <v>52</v>
      </c>
      <c r="B460" s="2" t="s">
        <v>39</v>
      </c>
      <c r="C460" s="12" t="n">
        <v>2</v>
      </c>
      <c r="D460" s="12" t="n">
        <v>2025</v>
      </c>
      <c r="E460" s="4" t="n">
        <f aca="false">INDEX(驱动复算!A3:X3,1,情景参数!B14)</f>
        <v>0</v>
      </c>
      <c r="F460" s="4" t="n">
        <f aca="false">E460*(1-情景参数!D14)</f>
        <v>0</v>
      </c>
      <c r="G460" s="4" t="n">
        <f aca="false">IF(情景参数!E14="原表",驱动复算!U3-驱动复算!W3,驱动复算!P3)</f>
        <v>0</v>
      </c>
      <c r="H460" s="4" t="n">
        <f aca="false">IF(情景参数!E14="原表",驱动复算!W3,F460*情景参数!C14)</f>
        <v>0</v>
      </c>
      <c r="I460" s="4" t="n">
        <f aca="false">IF(情景参数!E14="原表",驱动复算!U3,G460+H460)</f>
        <v>0</v>
      </c>
      <c r="J460" s="4" t="n">
        <f aca="false">(F460-I460)*(1-情景参数!F14)</f>
        <v>0</v>
      </c>
      <c r="K460" s="4" t="n">
        <f aca="false">偿债原表!C4</f>
        <v>0</v>
      </c>
      <c r="L460" s="4" t="n">
        <f aca="false">偿债原表!D4</f>
        <v>1093.2</v>
      </c>
      <c r="M460" s="4" t="n">
        <f aca="false">K460+L460</f>
        <v>1093.2</v>
      </c>
      <c r="N460" s="4" t="n">
        <f aca="false">J460-M460</f>
        <v>-1093.2</v>
      </c>
      <c r="O460" s="4" t="n">
        <f aca="false">O459+N460</f>
        <v>-3560.6</v>
      </c>
      <c r="P460" s="4" t="n">
        <f aca="false">MAX(0,-(R459+N460))</f>
        <v>1093.2</v>
      </c>
      <c r="Q460" s="4" t="n">
        <f aca="false">Q459+P460</f>
        <v>3560.6</v>
      </c>
      <c r="R460" s="4" t="n">
        <f aca="false">O460+Q460</f>
        <v>0</v>
      </c>
    </row>
    <row r="461" customFormat="false" ht="15" hidden="false" customHeight="false" outlineLevel="0" collapsed="false">
      <c r="A461" s="2" t="s">
        <v>52</v>
      </c>
      <c r="B461" s="2" t="s">
        <v>39</v>
      </c>
      <c r="C461" s="12" t="n">
        <v>3</v>
      </c>
      <c r="D461" s="12" t="n">
        <v>2026</v>
      </c>
      <c r="E461" s="4" t="n">
        <f aca="false">INDEX(驱动复算!A4:X4,1,情景参数!B14)</f>
        <v>0</v>
      </c>
      <c r="F461" s="4" t="n">
        <f aca="false">E461*(1-情景参数!D14)</f>
        <v>0</v>
      </c>
      <c r="G461" s="4" t="n">
        <f aca="false">IF(情景参数!E14="原表",驱动复算!U4-驱动复算!W4,驱动复算!P4)</f>
        <v>0</v>
      </c>
      <c r="H461" s="4" t="n">
        <f aca="false">IF(情景参数!E14="原表",驱动复算!W4,F461*情景参数!C14)</f>
        <v>0</v>
      </c>
      <c r="I461" s="4" t="n">
        <f aca="false">IF(情景参数!E14="原表",驱动复算!U4,G461+H461)</f>
        <v>0</v>
      </c>
      <c r="J461" s="4" t="n">
        <f aca="false">(F461-I461)*(1-情景参数!F14)</f>
        <v>0</v>
      </c>
      <c r="K461" s="4" t="n">
        <f aca="false">偿债原表!C5</f>
        <v>0</v>
      </c>
      <c r="L461" s="4" t="n">
        <f aca="false">偿债原表!D5</f>
        <v>1093.2</v>
      </c>
      <c r="M461" s="4" t="n">
        <f aca="false">K461+L461</f>
        <v>1093.2</v>
      </c>
      <c r="N461" s="4" t="n">
        <f aca="false">J461-M461</f>
        <v>-1093.2</v>
      </c>
      <c r="O461" s="4" t="n">
        <f aca="false">O460+N461</f>
        <v>-4653.8</v>
      </c>
      <c r="P461" s="4" t="n">
        <f aca="false">MAX(0,-(R460+N461))</f>
        <v>1093.2</v>
      </c>
      <c r="Q461" s="4" t="n">
        <f aca="false">Q460+P461</f>
        <v>4653.8</v>
      </c>
      <c r="R461" s="4" t="n">
        <f aca="false">O461+Q461</f>
        <v>0</v>
      </c>
    </row>
    <row r="462" customFormat="false" ht="15" hidden="false" customHeight="false" outlineLevel="0" collapsed="false">
      <c r="A462" s="2" t="s">
        <v>52</v>
      </c>
      <c r="B462" s="2" t="s">
        <v>39</v>
      </c>
      <c r="C462" s="12" t="n">
        <v>4</v>
      </c>
      <c r="D462" s="12" t="n">
        <v>2027</v>
      </c>
      <c r="E462" s="4" t="n">
        <f aca="false">INDEX(驱动复算!A5:X5,1,情景参数!B14)</f>
        <v>0</v>
      </c>
      <c r="F462" s="4" t="n">
        <f aca="false">E462*(1-情景参数!D14)</f>
        <v>0</v>
      </c>
      <c r="G462" s="4" t="n">
        <f aca="false">IF(情景参数!E14="原表",驱动复算!U5-驱动复算!W5,驱动复算!P5)</f>
        <v>0</v>
      </c>
      <c r="H462" s="4" t="n">
        <f aca="false">IF(情景参数!E14="原表",驱动复算!W5,F462*情景参数!C14)</f>
        <v>0</v>
      </c>
      <c r="I462" s="4" t="n">
        <f aca="false">IF(情景参数!E14="原表",驱动复算!U5,G462+H462)</f>
        <v>0</v>
      </c>
      <c r="J462" s="4" t="n">
        <f aca="false">(F462-I462)*(1-情景参数!F14)</f>
        <v>0</v>
      </c>
      <c r="K462" s="4" t="n">
        <f aca="false">偿债原表!C6</f>
        <v>0</v>
      </c>
      <c r="L462" s="4" t="n">
        <f aca="false">偿债原表!D6</f>
        <v>1093.2</v>
      </c>
      <c r="M462" s="4" t="n">
        <f aca="false">K462+L462</f>
        <v>1093.2</v>
      </c>
      <c r="N462" s="4" t="n">
        <f aca="false">J462-M462</f>
        <v>-1093.2</v>
      </c>
      <c r="O462" s="4" t="n">
        <f aca="false">O461+N462</f>
        <v>-5747</v>
      </c>
      <c r="P462" s="4" t="n">
        <f aca="false">MAX(0,-(R461+N462))</f>
        <v>1093.2</v>
      </c>
      <c r="Q462" s="4" t="n">
        <f aca="false">Q461+P462</f>
        <v>5747</v>
      </c>
      <c r="R462" s="4" t="n">
        <f aca="false">O462+Q462</f>
        <v>0</v>
      </c>
    </row>
    <row r="463" customFormat="false" ht="15" hidden="false" customHeight="false" outlineLevel="0" collapsed="false">
      <c r="A463" s="2" t="s">
        <v>52</v>
      </c>
      <c r="B463" s="2" t="s">
        <v>39</v>
      </c>
      <c r="C463" s="12" t="n">
        <v>5</v>
      </c>
      <c r="D463" s="12" t="n">
        <v>2028</v>
      </c>
      <c r="E463" s="4" t="n">
        <f aca="false">INDEX(驱动复算!A6:X6,1,情景参数!B14)</f>
        <v>9076.9048</v>
      </c>
      <c r="F463" s="4" t="n">
        <f aca="false">E463*(1-情景参数!D14)</f>
        <v>8623.05956</v>
      </c>
      <c r="G463" s="4" t="n">
        <f aca="false">IF(情景参数!E14="原表",驱动复算!U6-驱动复算!W6,驱动复算!P6)</f>
        <v>7355</v>
      </c>
      <c r="H463" s="4" t="n">
        <f aca="false">IF(情景参数!E14="原表",驱动复算!W6,F463*情景参数!C14)</f>
        <v>431.152978</v>
      </c>
      <c r="I463" s="4" t="n">
        <f aca="false">IF(情景参数!E14="原表",驱动复算!U6,G463+H463)</f>
        <v>7786.152978</v>
      </c>
      <c r="J463" s="4" t="n">
        <f aca="false">(F463-I463)*(1-情景参数!F14)</f>
        <v>836.906581999998</v>
      </c>
      <c r="K463" s="4" t="n">
        <f aca="false">偿债原表!C7</f>
        <v>11000</v>
      </c>
      <c r="L463" s="4" t="n">
        <f aca="false">偿债原表!D7</f>
        <v>1093.2</v>
      </c>
      <c r="M463" s="4" t="n">
        <f aca="false">K463+L463</f>
        <v>12093.2</v>
      </c>
      <c r="N463" s="4" t="n">
        <f aca="false">J463-M463</f>
        <v>-11256.293418</v>
      </c>
      <c r="O463" s="4" t="n">
        <f aca="false">O462+N463</f>
        <v>-17003.293418</v>
      </c>
      <c r="P463" s="4" t="n">
        <f aca="false">MAX(0,-(R462+N463))</f>
        <v>11256.293418</v>
      </c>
      <c r="Q463" s="4" t="n">
        <f aca="false">Q462+P463</f>
        <v>17003.293418</v>
      </c>
      <c r="R463" s="4" t="n">
        <f aca="false">O463+Q463</f>
        <v>0</v>
      </c>
    </row>
    <row r="464" customFormat="false" ht="15" hidden="false" customHeight="false" outlineLevel="0" collapsed="false">
      <c r="A464" s="2" t="s">
        <v>52</v>
      </c>
      <c r="B464" s="2" t="s">
        <v>39</v>
      </c>
      <c r="C464" s="12" t="n">
        <v>6</v>
      </c>
      <c r="D464" s="12" t="n">
        <v>2029</v>
      </c>
      <c r="E464" s="4" t="n">
        <f aca="false">INDEX(驱动复算!A7:X7,1,情景参数!B14)</f>
        <v>9911.9048</v>
      </c>
      <c r="F464" s="4" t="n">
        <f aca="false">E464*(1-情景参数!D14)</f>
        <v>9416.30956</v>
      </c>
      <c r="G464" s="4" t="n">
        <f aca="false">IF(情景参数!E14="原表",驱动复算!U7-驱动复算!W7,驱动复算!P7)</f>
        <v>7575.65</v>
      </c>
      <c r="H464" s="4" t="n">
        <f aca="false">IF(情景参数!E14="原表",驱动复算!W7,F464*情景参数!C14)</f>
        <v>470.815478</v>
      </c>
      <c r="I464" s="4" t="n">
        <f aca="false">IF(情景参数!E14="原表",驱动复算!U7,G464+H464)</f>
        <v>8046.465478</v>
      </c>
      <c r="J464" s="4" t="n">
        <f aca="false">(F464-I464)*(1-情景参数!F14)</f>
        <v>1369.844082</v>
      </c>
      <c r="K464" s="4" t="n">
        <f aca="false">偿债原表!C8</f>
        <v>0</v>
      </c>
      <c r="L464" s="4" t="n">
        <f aca="false">偿债原表!D8</f>
        <v>730.2</v>
      </c>
      <c r="M464" s="4" t="n">
        <f aca="false">K464+L464</f>
        <v>730.2</v>
      </c>
      <c r="N464" s="4" t="n">
        <f aca="false">J464-M464</f>
        <v>639.644081999998</v>
      </c>
      <c r="O464" s="4" t="n">
        <f aca="false">O463+N464</f>
        <v>-16363.649336</v>
      </c>
      <c r="P464" s="4" t="n">
        <f aca="false">MAX(0,-(R463+N464))</f>
        <v>0</v>
      </c>
      <c r="Q464" s="4" t="n">
        <f aca="false">Q463+P464</f>
        <v>17003.293418</v>
      </c>
      <c r="R464" s="4" t="n">
        <f aca="false">O464+Q464</f>
        <v>639.644081999997</v>
      </c>
    </row>
    <row r="465" customFormat="false" ht="15" hidden="false" customHeight="false" outlineLevel="0" collapsed="false">
      <c r="A465" s="2" t="s">
        <v>52</v>
      </c>
      <c r="B465" s="2" t="s">
        <v>39</v>
      </c>
      <c r="C465" s="12" t="n">
        <v>7</v>
      </c>
      <c r="D465" s="12" t="n">
        <v>2030</v>
      </c>
      <c r="E465" s="4" t="n">
        <f aca="false">INDEX(驱动复算!A8:X8,1,情景参数!B14)</f>
        <v>10830.4048</v>
      </c>
      <c r="F465" s="4" t="n">
        <f aca="false">E465*(1-情景参数!D14)</f>
        <v>10288.88456</v>
      </c>
      <c r="G465" s="4" t="n">
        <f aca="false">IF(情景参数!E14="原表",驱动复算!U8-驱动复算!W8,驱动复算!P8)</f>
        <v>7802.9195</v>
      </c>
      <c r="H465" s="4" t="n">
        <f aca="false">IF(情景参数!E14="原表",驱动复算!W8,F465*情景参数!C14)</f>
        <v>514.444228</v>
      </c>
      <c r="I465" s="4" t="n">
        <f aca="false">IF(情景参数!E14="原表",驱动复算!U8,G465+H465)</f>
        <v>8317.363728</v>
      </c>
      <c r="J465" s="4" t="n">
        <f aca="false">(F465-I465)*(1-情景参数!F14)</f>
        <v>1971.520832</v>
      </c>
      <c r="K465" s="4" t="n">
        <f aca="false">偿债原表!C9</f>
        <v>0</v>
      </c>
      <c r="L465" s="4" t="n">
        <f aca="false">偿债原表!D9</f>
        <v>730.2</v>
      </c>
      <c r="M465" s="4" t="n">
        <f aca="false">K465+L465</f>
        <v>730.2</v>
      </c>
      <c r="N465" s="4" t="n">
        <f aca="false">J465-M465</f>
        <v>1241.320832</v>
      </c>
      <c r="O465" s="4" t="n">
        <f aca="false">O464+N465</f>
        <v>-15122.328504</v>
      </c>
      <c r="P465" s="4" t="n">
        <f aca="false">MAX(0,-(R464+N465))</f>
        <v>0</v>
      </c>
      <c r="Q465" s="4" t="n">
        <f aca="false">Q464+P465</f>
        <v>17003.293418</v>
      </c>
      <c r="R465" s="4" t="n">
        <f aca="false">O465+Q465</f>
        <v>1880.964914</v>
      </c>
    </row>
    <row r="466" customFormat="false" ht="15" hidden="false" customHeight="false" outlineLevel="0" collapsed="false">
      <c r="A466" s="2" t="s">
        <v>52</v>
      </c>
      <c r="B466" s="2" t="s">
        <v>39</v>
      </c>
      <c r="C466" s="12" t="n">
        <v>8</v>
      </c>
      <c r="D466" s="12" t="n">
        <v>2031</v>
      </c>
      <c r="E466" s="4" t="n">
        <f aca="false">INDEX(驱动复算!A9:X9,1,情景参数!B14)</f>
        <v>11840.7548</v>
      </c>
      <c r="F466" s="4" t="n">
        <f aca="false">E466*(1-情景参数!D14)</f>
        <v>11248.71706</v>
      </c>
      <c r="G466" s="4" t="n">
        <f aca="false">IF(情景参数!E14="原表",驱动复算!U9-驱动复算!W9,驱动复算!P9)</f>
        <v>8037.007085</v>
      </c>
      <c r="H466" s="4" t="n">
        <f aca="false">IF(情景参数!E14="原表",驱动复算!W9,F466*情景参数!C14)</f>
        <v>562.435853</v>
      </c>
      <c r="I466" s="4" t="n">
        <f aca="false">IF(情景参数!E14="原表",驱动复算!U9,G466+H466)</f>
        <v>8599.442938</v>
      </c>
      <c r="J466" s="4" t="n">
        <f aca="false">(F466-I466)*(1-情景参数!F14)</f>
        <v>2649.274122</v>
      </c>
      <c r="K466" s="4" t="n">
        <f aca="false">偿债原表!C10</f>
        <v>0</v>
      </c>
      <c r="L466" s="4" t="n">
        <f aca="false">偿债原表!D10</f>
        <v>730.2</v>
      </c>
      <c r="M466" s="4" t="n">
        <f aca="false">K466+L466</f>
        <v>730.2</v>
      </c>
      <c r="N466" s="4" t="n">
        <f aca="false">J466-M466</f>
        <v>1919.074122</v>
      </c>
      <c r="O466" s="4" t="n">
        <f aca="false">O465+N466</f>
        <v>-13203.254382</v>
      </c>
      <c r="P466" s="4" t="n">
        <f aca="false">MAX(0,-(R465+N466))</f>
        <v>0</v>
      </c>
      <c r="Q466" s="4" t="n">
        <f aca="false">Q465+P466</f>
        <v>17003.293418</v>
      </c>
      <c r="R466" s="4" t="n">
        <f aca="false">O466+Q466</f>
        <v>3800.039036</v>
      </c>
    </row>
    <row r="467" customFormat="false" ht="15" hidden="false" customHeight="false" outlineLevel="0" collapsed="false">
      <c r="A467" s="2" t="s">
        <v>52</v>
      </c>
      <c r="B467" s="2" t="s">
        <v>39</v>
      </c>
      <c r="C467" s="12" t="n">
        <v>9</v>
      </c>
      <c r="D467" s="12" t="n">
        <v>2032</v>
      </c>
      <c r="E467" s="4" t="n">
        <f aca="false">INDEX(驱动复算!A10:X10,1,情景参数!B14)</f>
        <v>12952.1398</v>
      </c>
      <c r="F467" s="4" t="n">
        <f aca="false">E467*(1-情景参数!D14)</f>
        <v>12304.53281</v>
      </c>
      <c r="G467" s="4" t="n">
        <f aca="false">IF(情景参数!E14="原表",驱动复算!U10-驱动复算!W10,驱动复算!P10)</f>
        <v>8278.11729755</v>
      </c>
      <c r="H467" s="4" t="n">
        <f aca="false">IF(情景参数!E14="原表",驱动复算!W10,F467*情景参数!C14)</f>
        <v>615.2266405</v>
      </c>
      <c r="I467" s="4" t="n">
        <f aca="false">IF(情景参数!E14="原表",驱动复算!U10,G467+H467)</f>
        <v>8893.34393805</v>
      </c>
      <c r="J467" s="4" t="n">
        <f aca="false">(F467-I467)*(1-情景参数!F14)</f>
        <v>3411.18887195</v>
      </c>
      <c r="K467" s="4" t="n">
        <f aca="false">偿债原表!C11</f>
        <v>2000</v>
      </c>
      <c r="L467" s="4" t="n">
        <f aca="false">偿债原表!D11</f>
        <v>730.2</v>
      </c>
      <c r="M467" s="4" t="n">
        <f aca="false">K467+L467</f>
        <v>2730.2</v>
      </c>
      <c r="N467" s="4" t="n">
        <f aca="false">J467-M467</f>
        <v>680.98887195</v>
      </c>
      <c r="O467" s="4" t="n">
        <f aca="false">O466+N467</f>
        <v>-12522.26551005</v>
      </c>
      <c r="P467" s="4" t="n">
        <f aca="false">MAX(0,-(R466+N467))</f>
        <v>0</v>
      </c>
      <c r="Q467" s="4" t="n">
        <f aca="false">Q466+P467</f>
        <v>17003.293418</v>
      </c>
      <c r="R467" s="4" t="n">
        <f aca="false">O467+Q467</f>
        <v>4481.02790795</v>
      </c>
    </row>
    <row r="468" customFormat="false" ht="15" hidden="false" customHeight="false" outlineLevel="0" collapsed="false">
      <c r="A468" s="2" t="s">
        <v>52</v>
      </c>
      <c r="B468" s="2" t="s">
        <v>39</v>
      </c>
      <c r="C468" s="12" t="n">
        <v>10</v>
      </c>
      <c r="D468" s="12" t="n">
        <v>2033</v>
      </c>
      <c r="E468" s="4" t="n">
        <f aca="false">INDEX(驱动复算!A11:X11,1,情景参数!B14)</f>
        <v>13687.09275</v>
      </c>
      <c r="F468" s="4" t="n">
        <f aca="false">E468*(1-情景参数!D14)</f>
        <v>13002.7381125</v>
      </c>
      <c r="G468" s="4" t="n">
        <f aca="false">IF(情景参数!E14="原表",驱动复算!U11-驱动复算!W11,驱动复算!P11)</f>
        <v>8526.4608164765</v>
      </c>
      <c r="H468" s="4" t="n">
        <f aca="false">IF(情景参数!E14="原表",驱动复算!W11,F468*情景参数!C14)</f>
        <v>650.136905625</v>
      </c>
      <c r="I468" s="4" t="n">
        <f aca="false">IF(情景参数!E14="原表",驱动复算!U11,G468+H468)</f>
        <v>9176.5977221015</v>
      </c>
      <c r="J468" s="4" t="n">
        <f aca="false">(F468-I468)*(1-情景参数!F14)</f>
        <v>3826.1403903985</v>
      </c>
      <c r="K468" s="4" t="n">
        <f aca="false">偿债原表!C12</f>
        <v>0</v>
      </c>
      <c r="L468" s="4" t="n">
        <f aca="false">偿债原表!D12</f>
        <v>673.2</v>
      </c>
      <c r="M468" s="4" t="n">
        <f aca="false">K468+L468</f>
        <v>673.2</v>
      </c>
      <c r="N468" s="4" t="n">
        <f aca="false">J468-M468</f>
        <v>3152.9403903985</v>
      </c>
      <c r="O468" s="4" t="n">
        <f aca="false">O467+N468</f>
        <v>-9369.3251196515</v>
      </c>
      <c r="P468" s="4" t="n">
        <f aca="false">MAX(0,-(R467+N468))</f>
        <v>0</v>
      </c>
      <c r="Q468" s="4" t="n">
        <f aca="false">Q467+P468</f>
        <v>17003.293418</v>
      </c>
      <c r="R468" s="4" t="n">
        <f aca="false">O468+Q468</f>
        <v>7633.9682983485</v>
      </c>
    </row>
    <row r="469" customFormat="false" ht="15" hidden="false" customHeight="false" outlineLevel="0" collapsed="false">
      <c r="A469" s="2" t="s">
        <v>52</v>
      </c>
      <c r="B469" s="2" t="s">
        <v>39</v>
      </c>
      <c r="C469" s="12" t="n">
        <v>11</v>
      </c>
      <c r="D469" s="12" t="n">
        <v>2034</v>
      </c>
      <c r="E469" s="4" t="n">
        <f aca="false">INDEX(驱动复算!A12:X12,1,情景参数!B14)</f>
        <v>14328.9175875</v>
      </c>
      <c r="F469" s="4" t="n">
        <f aca="false">E469*(1-情景参数!D14)</f>
        <v>13612.471708125</v>
      </c>
      <c r="G469" s="4" t="n">
        <f aca="false">IF(情景参数!E14="原表",驱动复算!U12-驱动复算!W12,驱动复算!P12)</f>
        <v>8782.2546409708</v>
      </c>
      <c r="H469" s="4" t="n">
        <f aca="false">IF(情景参数!E14="原表",驱动复算!W12,F469*情景参数!C14)</f>
        <v>680.62358540625</v>
      </c>
      <c r="I469" s="4" t="n">
        <f aca="false">IF(情景参数!E14="原表",驱动复算!U12,G469+H469)</f>
        <v>9462.87822637705</v>
      </c>
      <c r="J469" s="4" t="n">
        <f aca="false">(F469-I469)*(1-情景参数!F14)</f>
        <v>4149.59348174796</v>
      </c>
      <c r="K469" s="4" t="n">
        <f aca="false">偿债原表!C13</f>
        <v>0</v>
      </c>
      <c r="L469" s="4" t="n">
        <f aca="false">偿债原表!D13</f>
        <v>673.2</v>
      </c>
      <c r="M469" s="4" t="n">
        <f aca="false">K469+L469</f>
        <v>673.2</v>
      </c>
      <c r="N469" s="4" t="n">
        <f aca="false">J469-M469</f>
        <v>3476.39348174796</v>
      </c>
      <c r="O469" s="4" t="n">
        <f aca="false">O468+N469</f>
        <v>-5892.93163790354</v>
      </c>
      <c r="P469" s="4" t="n">
        <f aca="false">MAX(0,-(R468+N469))</f>
        <v>0</v>
      </c>
      <c r="Q469" s="4" t="n">
        <f aca="false">Q468+P469</f>
        <v>17003.293418</v>
      </c>
      <c r="R469" s="4" t="n">
        <f aca="false">O469+Q469</f>
        <v>11110.3617800965</v>
      </c>
    </row>
    <row r="470" customFormat="false" ht="15" hidden="false" customHeight="false" outlineLevel="0" collapsed="false">
      <c r="A470" s="2" t="s">
        <v>52</v>
      </c>
      <c r="B470" s="2" t="s">
        <v>39</v>
      </c>
      <c r="C470" s="12" t="n">
        <v>12</v>
      </c>
      <c r="D470" s="12" t="n">
        <v>2035</v>
      </c>
      <c r="E470" s="4" t="n">
        <f aca="false">INDEX(驱动复算!A13:X13,1,情景参数!B14)</f>
        <v>15002.833666875</v>
      </c>
      <c r="F470" s="4" t="n">
        <f aca="false">E470*(1-情景参数!D14)</f>
        <v>14252.6919835313</v>
      </c>
      <c r="G470" s="4" t="n">
        <f aca="false">IF(情景参数!E14="原表",驱动复算!U13-驱动复算!W13,驱动复算!P13)</f>
        <v>9045.72228019992</v>
      </c>
      <c r="H470" s="4" t="n">
        <f aca="false">IF(情景参数!E14="原表",驱动复算!W13,F470*情景参数!C14)</f>
        <v>712.634599176563</v>
      </c>
      <c r="I470" s="4" t="n">
        <f aca="false">IF(情景参数!E14="原表",驱动复算!U13,G470+H470)</f>
        <v>9758.35687937648</v>
      </c>
      <c r="J470" s="4" t="n">
        <f aca="false">(F470-I470)*(1-情景参数!F14)</f>
        <v>4494.33510415477</v>
      </c>
      <c r="K470" s="4" t="n">
        <f aca="false">偿债原表!C14</f>
        <v>0</v>
      </c>
      <c r="L470" s="4" t="n">
        <f aca="false">偿债原表!D14</f>
        <v>673.2</v>
      </c>
      <c r="M470" s="4" t="n">
        <f aca="false">K470+L470</f>
        <v>673.2</v>
      </c>
      <c r="N470" s="4" t="n">
        <f aca="false">J470-M470</f>
        <v>3821.13510415477</v>
      </c>
      <c r="O470" s="4" t="n">
        <f aca="false">O469+N470</f>
        <v>-2071.79653374877</v>
      </c>
      <c r="P470" s="4" t="n">
        <f aca="false">MAX(0,-(R469+N470))</f>
        <v>0</v>
      </c>
      <c r="Q470" s="4" t="n">
        <f aca="false">Q469+P470</f>
        <v>17003.293418</v>
      </c>
      <c r="R470" s="4" t="n">
        <f aca="false">O470+Q470</f>
        <v>14931.4968842512</v>
      </c>
    </row>
    <row r="471" customFormat="false" ht="15" hidden="false" customHeight="false" outlineLevel="0" collapsed="false">
      <c r="A471" s="2" t="s">
        <v>52</v>
      </c>
      <c r="B471" s="2" t="s">
        <v>39</v>
      </c>
      <c r="C471" s="12" t="n">
        <v>13</v>
      </c>
      <c r="D471" s="12" t="n">
        <v>2036</v>
      </c>
      <c r="E471" s="4" t="n">
        <f aca="false">INDEX(驱动复算!A14:X14,1,情景参数!B14)</f>
        <v>15710.4455502188</v>
      </c>
      <c r="F471" s="4" t="n">
        <f aca="false">E471*(1-情景参数!D14)</f>
        <v>14924.9232727078</v>
      </c>
      <c r="G471" s="4" t="n">
        <f aca="false">IF(情景参数!E14="原表",驱动复算!U14-驱动复算!W14,驱动复算!P14)</f>
        <v>9317.09394860592</v>
      </c>
      <c r="H471" s="4" t="n">
        <f aca="false">IF(情景参数!E14="原表",驱动复算!W14,F471*情景参数!C14)</f>
        <v>746.246163635391</v>
      </c>
      <c r="I471" s="4" t="n">
        <f aca="false">IF(情景参数!E14="原表",驱动复算!U14,G471+H471)</f>
        <v>10063.3401122413</v>
      </c>
      <c r="J471" s="4" t="n">
        <f aca="false">(F471-I471)*(1-情景参数!F14)</f>
        <v>4861.58316046651</v>
      </c>
      <c r="K471" s="4" t="n">
        <f aca="false">偿债原表!C15</f>
        <v>0</v>
      </c>
      <c r="L471" s="4" t="n">
        <f aca="false">偿债原表!D15</f>
        <v>673.2</v>
      </c>
      <c r="M471" s="4" t="n">
        <f aca="false">K471+L471</f>
        <v>673.2</v>
      </c>
      <c r="N471" s="4" t="n">
        <f aca="false">J471-M471</f>
        <v>4188.38316046651</v>
      </c>
      <c r="O471" s="4" t="n">
        <f aca="false">O470+N471</f>
        <v>2116.58662671774</v>
      </c>
      <c r="P471" s="4" t="n">
        <f aca="false">MAX(0,-(R470+N471))</f>
        <v>0</v>
      </c>
      <c r="Q471" s="4" t="n">
        <f aca="false">Q470+P471</f>
        <v>17003.293418</v>
      </c>
      <c r="R471" s="4" t="n">
        <f aca="false">O471+Q471</f>
        <v>19119.8800447177</v>
      </c>
    </row>
    <row r="472" customFormat="false" ht="15" hidden="false" customHeight="false" outlineLevel="0" collapsed="false">
      <c r="A472" s="2" t="s">
        <v>52</v>
      </c>
      <c r="B472" s="2" t="s">
        <v>39</v>
      </c>
      <c r="C472" s="12" t="n">
        <v>14</v>
      </c>
      <c r="D472" s="12" t="n">
        <v>2037</v>
      </c>
      <c r="E472" s="4" t="n">
        <f aca="false">INDEX(驱动复算!A15:X15,1,情景参数!B14)</f>
        <v>16453.4380277297</v>
      </c>
      <c r="F472" s="4" t="n">
        <f aca="false">E472*(1-情景参数!D14)</f>
        <v>15630.7661263432</v>
      </c>
      <c r="G472" s="4" t="n">
        <f aca="false">IF(情景参数!E14="原表",驱动复算!U15-驱动复算!W15,驱动复算!P15)</f>
        <v>9596.6067670641</v>
      </c>
      <c r="H472" s="4" t="n">
        <f aca="false">IF(情景参数!E14="原表",驱动复算!W15,F472*情景参数!C14)</f>
        <v>781.538306317161</v>
      </c>
      <c r="I472" s="4" t="n">
        <f aca="false">IF(情景参数!E14="原表",驱动复算!U15,G472+H472)</f>
        <v>10378.1450733813</v>
      </c>
      <c r="J472" s="4" t="n">
        <f aca="false">(F472-I472)*(1-情景参数!F14)</f>
        <v>5252.62105296196</v>
      </c>
      <c r="K472" s="4" t="n">
        <f aca="false">偿债原表!C16</f>
        <v>1000</v>
      </c>
      <c r="L472" s="4" t="n">
        <f aca="false">偿债原表!D16</f>
        <v>673.2</v>
      </c>
      <c r="M472" s="4" t="n">
        <f aca="false">K472+L472</f>
        <v>1673.2</v>
      </c>
      <c r="N472" s="4" t="n">
        <f aca="false">J472-M472</f>
        <v>3579.42105296196</v>
      </c>
      <c r="O472" s="4" t="n">
        <f aca="false">O471+N472</f>
        <v>5696.0076796797</v>
      </c>
      <c r="P472" s="4" t="n">
        <f aca="false">MAX(0,-(R471+N472))</f>
        <v>0</v>
      </c>
      <c r="Q472" s="4" t="n">
        <f aca="false">Q471+P472</f>
        <v>17003.293418</v>
      </c>
      <c r="R472" s="4" t="n">
        <f aca="false">O472+Q472</f>
        <v>22699.3010976797</v>
      </c>
    </row>
    <row r="473" customFormat="false" ht="15" hidden="false" customHeight="false" outlineLevel="0" collapsed="false">
      <c r="A473" s="2" t="s">
        <v>52</v>
      </c>
      <c r="B473" s="2" t="s">
        <v>39</v>
      </c>
      <c r="C473" s="12" t="n">
        <v>15</v>
      </c>
      <c r="D473" s="12" t="n">
        <v>2038</v>
      </c>
      <c r="E473" s="4" t="n">
        <f aca="false">INDEX(驱动复算!A16:X16,1,情景参数!B14)</f>
        <v>16792.3004682843</v>
      </c>
      <c r="F473" s="4" t="n">
        <f aca="false">E473*(1-情景参数!D14)</f>
        <v>15952.6854448701</v>
      </c>
      <c r="G473" s="4" t="n">
        <f aca="false">IF(情景参数!E14="原表",驱动复算!U16-驱动复算!W16,驱动复算!P16)</f>
        <v>9884.50497007602</v>
      </c>
      <c r="H473" s="4" t="n">
        <f aca="false">IF(情景参数!E14="原表",驱动复算!W16,F473*情景参数!C14)</f>
        <v>797.634272243504</v>
      </c>
      <c r="I473" s="4" t="n">
        <f aca="false">IF(情景参数!E14="原表",驱动复算!U16,G473+H473)</f>
        <v>10682.1392423195</v>
      </c>
      <c r="J473" s="4" t="n">
        <f aca="false">(F473-I473)*(1-情景参数!F14)</f>
        <v>5270.54620255055</v>
      </c>
      <c r="K473" s="4" t="n">
        <f aca="false">偿债原表!C17</f>
        <v>0</v>
      </c>
      <c r="L473" s="4" t="n">
        <f aca="false">偿债原表!D17</f>
        <v>644</v>
      </c>
      <c r="M473" s="4" t="n">
        <f aca="false">K473+L473</f>
        <v>644</v>
      </c>
      <c r="N473" s="4" t="n">
        <f aca="false">J473-M473</f>
        <v>4626.54620255055</v>
      </c>
      <c r="O473" s="4" t="n">
        <f aca="false">O472+N473</f>
        <v>10322.5538822303</v>
      </c>
      <c r="P473" s="4" t="n">
        <f aca="false">MAX(0,-(R472+N473))</f>
        <v>0</v>
      </c>
      <c r="Q473" s="4" t="n">
        <f aca="false">Q472+P473</f>
        <v>17003.293418</v>
      </c>
      <c r="R473" s="4" t="n">
        <f aca="false">O473+Q473</f>
        <v>27325.8473002303</v>
      </c>
    </row>
    <row r="474" customFormat="false" ht="15" hidden="false" customHeight="false" outlineLevel="0" collapsed="false">
      <c r="A474" s="2" t="s">
        <v>52</v>
      </c>
      <c r="B474" s="2" t="s">
        <v>39</v>
      </c>
      <c r="C474" s="12" t="n">
        <v>16</v>
      </c>
      <c r="D474" s="12" t="n">
        <v>2039</v>
      </c>
      <c r="E474" s="4" t="n">
        <f aca="false">INDEX(驱动复算!A17:X17,1,情景参数!B14)</f>
        <v>17110.59844565</v>
      </c>
      <c r="F474" s="4" t="n">
        <f aca="false">E474*(1-情景参数!D14)</f>
        <v>16255.0685233675</v>
      </c>
      <c r="G474" s="4" t="n">
        <f aca="false">IF(情景参数!E14="原表",驱动复算!U17-驱动复算!W17,驱动复算!P17)</f>
        <v>10181.0401191783</v>
      </c>
      <c r="H474" s="4" t="n">
        <f aca="false">IF(情景参数!E14="原表",驱动复算!W17,F474*情景参数!C14)</f>
        <v>812.753426168374</v>
      </c>
      <c r="I474" s="4" t="n">
        <f aca="false">IF(情景参数!E14="原表",驱动复算!U17,G474+H474)</f>
        <v>10993.7935453467</v>
      </c>
      <c r="J474" s="4" t="n">
        <f aca="false">(F474-I474)*(1-情景参数!F14)</f>
        <v>5261.27497802081</v>
      </c>
      <c r="K474" s="4" t="n">
        <f aca="false">偿债原表!C18</f>
        <v>0</v>
      </c>
      <c r="L474" s="4" t="n">
        <f aca="false">偿债原表!D18</f>
        <v>644</v>
      </c>
      <c r="M474" s="4" t="n">
        <f aca="false">K474+L474</f>
        <v>644</v>
      </c>
      <c r="N474" s="4" t="n">
        <f aca="false">J474-M474</f>
        <v>4617.27497802081</v>
      </c>
      <c r="O474" s="4" t="n">
        <f aca="false">O473+N474</f>
        <v>14939.8288602511</v>
      </c>
      <c r="P474" s="4" t="n">
        <f aca="false">MAX(0,-(R473+N474))</f>
        <v>0</v>
      </c>
      <c r="Q474" s="4" t="n">
        <f aca="false">Q473+P474</f>
        <v>17003.293418</v>
      </c>
      <c r="R474" s="4" t="n">
        <f aca="false">O474+Q474</f>
        <v>31943.1222782511</v>
      </c>
    </row>
    <row r="475" customFormat="false" ht="15" hidden="false" customHeight="false" outlineLevel="0" collapsed="false">
      <c r="A475" s="2" t="s">
        <v>52</v>
      </c>
      <c r="B475" s="2" t="s">
        <v>39</v>
      </c>
      <c r="C475" s="12" t="n">
        <v>17</v>
      </c>
      <c r="D475" s="12" t="n">
        <v>2040</v>
      </c>
      <c r="E475" s="4" t="n">
        <f aca="false">INDEX(驱动复算!A18:X18,1,情景参数!B14)</f>
        <v>17435.262382563</v>
      </c>
      <c r="F475" s="4" t="n">
        <f aca="false">E475*(1-情景参数!D14)</f>
        <v>16563.4992634348</v>
      </c>
      <c r="G475" s="4" t="n">
        <f aca="false">IF(情景参数!E14="原表",驱动复算!U18-驱动复算!W18,驱动复算!P18)</f>
        <v>10486.4713227536</v>
      </c>
      <c r="H475" s="4" t="n">
        <f aca="false">IF(情景参数!E14="原表",驱动复算!W18,F475*情景参数!C14)</f>
        <v>828.174963171742</v>
      </c>
      <c r="I475" s="4" t="n">
        <f aca="false">IF(情景参数!E14="原表",驱动复算!U18,G475+H475)</f>
        <v>11314.6462859254</v>
      </c>
      <c r="J475" s="4" t="n">
        <f aca="false">(F475-I475)*(1-情景参数!F14)</f>
        <v>5248.85297750944</v>
      </c>
      <c r="K475" s="4" t="n">
        <f aca="false">偿债原表!C19</f>
        <v>0</v>
      </c>
      <c r="L475" s="4" t="n">
        <f aca="false">偿债原表!D19</f>
        <v>644</v>
      </c>
      <c r="M475" s="4" t="n">
        <f aca="false">K475+L475</f>
        <v>644</v>
      </c>
      <c r="N475" s="4" t="n">
        <f aca="false">J475-M475</f>
        <v>4604.85297750944</v>
      </c>
      <c r="O475" s="4" t="n">
        <f aca="false">O474+N475</f>
        <v>19544.6818377605</v>
      </c>
      <c r="P475" s="4" t="n">
        <f aca="false">MAX(0,-(R474+N475))</f>
        <v>0</v>
      </c>
      <c r="Q475" s="4" t="n">
        <f aca="false">Q474+P475</f>
        <v>17003.293418</v>
      </c>
      <c r="R475" s="4" t="n">
        <f aca="false">O475+Q475</f>
        <v>36547.9752557605</v>
      </c>
    </row>
    <row r="476" customFormat="false" ht="15" hidden="false" customHeight="false" outlineLevel="0" collapsed="false">
      <c r="A476" s="2" t="s">
        <v>52</v>
      </c>
      <c r="B476" s="2" t="s">
        <v>39</v>
      </c>
      <c r="C476" s="12" t="n">
        <v>18</v>
      </c>
      <c r="D476" s="12" t="n">
        <v>2041</v>
      </c>
      <c r="E476" s="4" t="n">
        <f aca="false">INDEX(驱动复算!A19:X19,1,情景参数!B14)</f>
        <v>17766.4195982142</v>
      </c>
      <c r="F476" s="4" t="n">
        <f aca="false">E476*(1-情景参数!D14)</f>
        <v>16878.0986183035</v>
      </c>
      <c r="G476" s="4" t="n">
        <f aca="false">IF(情景参数!E14="原表",驱动复算!U19-驱动复算!W19,驱动复算!P19)</f>
        <v>10801.0654624363</v>
      </c>
      <c r="H476" s="4" t="n">
        <f aca="false">IF(情景参数!E14="原表",驱动复算!W19,F476*情景参数!C14)</f>
        <v>843.904930915176</v>
      </c>
      <c r="I476" s="4" t="n">
        <f aca="false">IF(情景参数!E14="原表",驱动复算!U19,G476+H476)</f>
        <v>11644.9703933514</v>
      </c>
      <c r="J476" s="4" t="n">
        <f aca="false">(F476-I476)*(1-情景参数!F14)</f>
        <v>5233.12822495209</v>
      </c>
      <c r="K476" s="4" t="n">
        <f aca="false">偿债原表!C20</f>
        <v>20000</v>
      </c>
      <c r="L476" s="4" t="n">
        <f aca="false">偿债原表!D20</f>
        <v>644</v>
      </c>
      <c r="M476" s="4" t="n">
        <f aca="false">K476+L476</f>
        <v>20644</v>
      </c>
      <c r="N476" s="4" t="n">
        <f aca="false">J476-M476</f>
        <v>-15410.8717750479</v>
      </c>
      <c r="O476" s="4" t="n">
        <f aca="false">O475+N476</f>
        <v>4133.81006271259</v>
      </c>
      <c r="P476" s="4" t="n">
        <f aca="false">MAX(0,-(R475+N476))</f>
        <v>0</v>
      </c>
      <c r="Q476" s="4" t="n">
        <f aca="false">Q475+P476</f>
        <v>17003.293418</v>
      </c>
      <c r="R476" s="4" t="n">
        <f aca="false">O476+Q476</f>
        <v>21137.1034807126</v>
      </c>
    </row>
    <row r="477" customFormat="false" ht="15" hidden="false" customHeight="false" outlineLevel="0" collapsed="false">
      <c r="A477" s="2" t="s">
        <v>52</v>
      </c>
      <c r="B477" s="2" t="s">
        <v>40</v>
      </c>
      <c r="C477" s="12" t="n">
        <v>0</v>
      </c>
      <c r="D477" s="13" t="s">
        <v>248</v>
      </c>
      <c r="E477" s="4" t="n">
        <f aca="false">0</f>
        <v>0</v>
      </c>
      <c r="F477" s="4" t="n">
        <f aca="false">E477*(1-情景参数!D14)</f>
        <v>0</v>
      </c>
      <c r="G477" s="4" t="n">
        <f aca="false">0</f>
        <v>0</v>
      </c>
      <c r="H477" s="4" t="n">
        <f aca="false">0</f>
        <v>0</v>
      </c>
      <c r="I477" s="4" t="n">
        <f aca="false">0</f>
        <v>0</v>
      </c>
      <c r="J477" s="4" t="n">
        <f aca="false">(F477-I477)*(1-情景参数!F14)</f>
        <v>0</v>
      </c>
      <c r="K477" s="4" t="n">
        <f aca="false">偿债原表!F2</f>
        <v>0</v>
      </c>
      <c r="L477" s="4" t="n">
        <f aca="false">偿债原表!G2</f>
        <v>1374.2</v>
      </c>
      <c r="M477" s="4" t="n">
        <f aca="false">K477+L477</f>
        <v>1374.2</v>
      </c>
      <c r="N477" s="4" t="n">
        <f aca="false">J477-M477</f>
        <v>-1374.2</v>
      </c>
      <c r="O477" s="4" t="n">
        <f aca="false">N477</f>
        <v>-1374.2</v>
      </c>
      <c r="P477" s="4" t="n">
        <f aca="false">MAX(0,-N477)</f>
        <v>1374.2</v>
      </c>
      <c r="Q477" s="4" t="n">
        <f aca="false">P477</f>
        <v>1374.2</v>
      </c>
      <c r="R477" s="4" t="n">
        <f aca="false">O477+Q477</f>
        <v>0</v>
      </c>
    </row>
    <row r="478" customFormat="false" ht="15" hidden="false" customHeight="false" outlineLevel="0" collapsed="false">
      <c r="A478" s="2" t="s">
        <v>52</v>
      </c>
      <c r="B478" s="2" t="s">
        <v>40</v>
      </c>
      <c r="C478" s="12" t="n">
        <v>1</v>
      </c>
      <c r="D478" s="12" t="n">
        <v>2024</v>
      </c>
      <c r="E478" s="4" t="n">
        <f aca="false">INDEX(驱动复算!A2:X2,1,情景参数!B14)</f>
        <v>0</v>
      </c>
      <c r="F478" s="4" t="n">
        <f aca="false">E478*(1-情景参数!D14)</f>
        <v>0</v>
      </c>
      <c r="G478" s="4" t="n">
        <f aca="false">IF(情景参数!E14="原表",驱动复算!U2-驱动复算!W2,驱动复算!P2)</f>
        <v>0</v>
      </c>
      <c r="H478" s="4" t="n">
        <f aca="false">IF(情景参数!E14="原表",驱动复算!W2,F478*情景参数!C14)</f>
        <v>0</v>
      </c>
      <c r="I478" s="4" t="n">
        <f aca="false">IF(情景参数!E14="原表",驱动复算!U2,G478+H478)</f>
        <v>0</v>
      </c>
      <c r="J478" s="4" t="n">
        <f aca="false">(F478-I478)*(1-情景参数!F14)</f>
        <v>0</v>
      </c>
      <c r="K478" s="4" t="n">
        <f aca="false">偿债原表!F3</f>
        <v>0</v>
      </c>
      <c r="L478" s="4" t="n">
        <f aca="false">偿债原表!G3</f>
        <v>1107.58</v>
      </c>
      <c r="M478" s="4" t="n">
        <f aca="false">K478+L478</f>
        <v>1107.58</v>
      </c>
      <c r="N478" s="4" t="n">
        <f aca="false">J478-M478</f>
        <v>-1107.58</v>
      </c>
      <c r="O478" s="4" t="n">
        <f aca="false">O477+N478</f>
        <v>-2481.78</v>
      </c>
      <c r="P478" s="4" t="n">
        <f aca="false">MAX(0,-(R477+N478))</f>
        <v>1107.58</v>
      </c>
      <c r="Q478" s="4" t="n">
        <f aca="false">Q477+P478</f>
        <v>2481.78</v>
      </c>
      <c r="R478" s="4" t="n">
        <f aca="false">O478+Q478</f>
        <v>0</v>
      </c>
    </row>
    <row r="479" customFormat="false" ht="15" hidden="false" customHeight="false" outlineLevel="0" collapsed="false">
      <c r="A479" s="2" t="s">
        <v>52</v>
      </c>
      <c r="B479" s="2" t="s">
        <v>40</v>
      </c>
      <c r="C479" s="12" t="n">
        <v>2</v>
      </c>
      <c r="D479" s="12" t="n">
        <v>2025</v>
      </c>
      <c r="E479" s="4" t="n">
        <f aca="false">INDEX(驱动复算!A3:X3,1,情景参数!B14)</f>
        <v>0</v>
      </c>
      <c r="F479" s="4" t="n">
        <f aca="false">E479*(1-情景参数!D14)</f>
        <v>0</v>
      </c>
      <c r="G479" s="4" t="n">
        <f aca="false">IF(情景参数!E14="原表",驱动复算!U3-驱动复算!W3,驱动复算!P3)</f>
        <v>0</v>
      </c>
      <c r="H479" s="4" t="n">
        <f aca="false">IF(情景参数!E14="原表",驱动复算!W3,F479*情景参数!C14)</f>
        <v>0</v>
      </c>
      <c r="I479" s="4" t="n">
        <f aca="false">IF(情景参数!E14="原表",驱动复算!U3,G479+H479)</f>
        <v>0</v>
      </c>
      <c r="J479" s="4" t="n">
        <f aca="false">(F479-I479)*(1-情景参数!F14)</f>
        <v>0</v>
      </c>
      <c r="K479" s="4" t="n">
        <f aca="false">偿债原表!F4</f>
        <v>0</v>
      </c>
      <c r="L479" s="4" t="n">
        <f aca="false">偿债原表!G4</f>
        <v>1107.58</v>
      </c>
      <c r="M479" s="4" t="n">
        <f aca="false">K479+L479</f>
        <v>1107.58</v>
      </c>
      <c r="N479" s="4" t="n">
        <f aca="false">J479-M479</f>
        <v>-1107.58</v>
      </c>
      <c r="O479" s="4" t="n">
        <f aca="false">O478+N479</f>
        <v>-3589.36</v>
      </c>
      <c r="P479" s="4" t="n">
        <f aca="false">MAX(0,-(R478+N479))</f>
        <v>1107.58</v>
      </c>
      <c r="Q479" s="4" t="n">
        <f aca="false">Q478+P479</f>
        <v>3589.36</v>
      </c>
      <c r="R479" s="4" t="n">
        <f aca="false">O479+Q479</f>
        <v>0</v>
      </c>
    </row>
    <row r="480" customFormat="false" ht="15" hidden="false" customHeight="false" outlineLevel="0" collapsed="false">
      <c r="A480" s="2" t="s">
        <v>52</v>
      </c>
      <c r="B480" s="2" t="s">
        <v>40</v>
      </c>
      <c r="C480" s="12" t="n">
        <v>3</v>
      </c>
      <c r="D480" s="12" t="n">
        <v>2026</v>
      </c>
      <c r="E480" s="4" t="n">
        <f aca="false">INDEX(驱动复算!A4:X4,1,情景参数!B14)</f>
        <v>0</v>
      </c>
      <c r="F480" s="4" t="n">
        <f aca="false">E480*(1-情景参数!D14)</f>
        <v>0</v>
      </c>
      <c r="G480" s="4" t="n">
        <f aca="false">IF(情景参数!E14="原表",驱动复算!U4-驱动复算!W4,驱动复算!P4)</f>
        <v>0</v>
      </c>
      <c r="H480" s="4" t="n">
        <f aca="false">IF(情景参数!E14="原表",驱动复算!W4,F480*情景参数!C14)</f>
        <v>0</v>
      </c>
      <c r="I480" s="4" t="n">
        <f aca="false">IF(情景参数!E14="原表",驱动复算!U4,G480+H480)</f>
        <v>0</v>
      </c>
      <c r="J480" s="4" t="n">
        <f aca="false">(F480-I480)*(1-情景参数!F14)</f>
        <v>0</v>
      </c>
      <c r="K480" s="4" t="n">
        <f aca="false">偿债原表!F5</f>
        <v>0</v>
      </c>
      <c r="L480" s="4" t="n">
        <f aca="false">偿债原表!G5</f>
        <v>1107.58</v>
      </c>
      <c r="M480" s="4" t="n">
        <f aca="false">K480+L480</f>
        <v>1107.58</v>
      </c>
      <c r="N480" s="4" t="n">
        <f aca="false">J480-M480</f>
        <v>-1107.58</v>
      </c>
      <c r="O480" s="4" t="n">
        <f aca="false">O479+N480</f>
        <v>-4696.94</v>
      </c>
      <c r="P480" s="4" t="n">
        <f aca="false">MAX(0,-(R479+N480))</f>
        <v>1107.58</v>
      </c>
      <c r="Q480" s="4" t="n">
        <f aca="false">Q479+P480</f>
        <v>4696.94</v>
      </c>
      <c r="R480" s="4" t="n">
        <f aca="false">O480+Q480</f>
        <v>0</v>
      </c>
    </row>
    <row r="481" customFormat="false" ht="15" hidden="false" customHeight="false" outlineLevel="0" collapsed="false">
      <c r="A481" s="2" t="s">
        <v>52</v>
      </c>
      <c r="B481" s="2" t="s">
        <v>40</v>
      </c>
      <c r="C481" s="12" t="n">
        <v>4</v>
      </c>
      <c r="D481" s="12" t="n">
        <v>2027</v>
      </c>
      <c r="E481" s="4" t="n">
        <f aca="false">INDEX(驱动复算!A5:X5,1,情景参数!B14)</f>
        <v>0</v>
      </c>
      <c r="F481" s="4" t="n">
        <f aca="false">E481*(1-情景参数!D14)</f>
        <v>0</v>
      </c>
      <c r="G481" s="4" t="n">
        <f aca="false">IF(情景参数!E14="原表",驱动复算!U5-驱动复算!W5,驱动复算!P5)</f>
        <v>0</v>
      </c>
      <c r="H481" s="4" t="n">
        <f aca="false">IF(情景参数!E14="原表",驱动复算!W5,F481*情景参数!C14)</f>
        <v>0</v>
      </c>
      <c r="I481" s="4" t="n">
        <f aca="false">IF(情景参数!E14="原表",驱动复算!U5,G481+H481)</f>
        <v>0</v>
      </c>
      <c r="J481" s="4" t="n">
        <f aca="false">(F481-I481)*(1-情景参数!F14)</f>
        <v>0</v>
      </c>
      <c r="K481" s="4" t="n">
        <f aca="false">偿债原表!F6</f>
        <v>0</v>
      </c>
      <c r="L481" s="4" t="n">
        <f aca="false">偿债原表!G6</f>
        <v>1107.58</v>
      </c>
      <c r="M481" s="4" t="n">
        <f aca="false">K481+L481</f>
        <v>1107.58</v>
      </c>
      <c r="N481" s="4" t="n">
        <f aca="false">J481-M481</f>
        <v>-1107.58</v>
      </c>
      <c r="O481" s="4" t="n">
        <f aca="false">O480+N481</f>
        <v>-5804.52</v>
      </c>
      <c r="P481" s="4" t="n">
        <f aca="false">MAX(0,-(R480+N481))</f>
        <v>1107.58</v>
      </c>
      <c r="Q481" s="4" t="n">
        <f aca="false">Q480+P481</f>
        <v>5804.52</v>
      </c>
      <c r="R481" s="4" t="n">
        <f aca="false">O481+Q481</f>
        <v>0</v>
      </c>
    </row>
    <row r="482" customFormat="false" ht="15" hidden="false" customHeight="false" outlineLevel="0" collapsed="false">
      <c r="A482" s="2" t="s">
        <v>52</v>
      </c>
      <c r="B482" s="2" t="s">
        <v>40</v>
      </c>
      <c r="C482" s="12" t="n">
        <v>5</v>
      </c>
      <c r="D482" s="12" t="n">
        <v>2028</v>
      </c>
      <c r="E482" s="4" t="n">
        <f aca="false">INDEX(驱动复算!A6:X6,1,情景参数!B14)</f>
        <v>9076.9048</v>
      </c>
      <c r="F482" s="4" t="n">
        <f aca="false">E482*(1-情景参数!D14)</f>
        <v>8623.05956</v>
      </c>
      <c r="G482" s="4" t="n">
        <f aca="false">IF(情景参数!E14="原表",驱动复算!U6-驱动复算!W6,驱动复算!P6)</f>
        <v>7355</v>
      </c>
      <c r="H482" s="4" t="n">
        <f aca="false">IF(情景参数!E14="原表",驱动复算!W6,F482*情景参数!C14)</f>
        <v>431.152978</v>
      </c>
      <c r="I482" s="4" t="n">
        <f aca="false">IF(情景参数!E14="原表",驱动复算!U6,G482+H482)</f>
        <v>7786.152978</v>
      </c>
      <c r="J482" s="4" t="n">
        <f aca="false">(F482-I482)*(1-情景参数!F14)</f>
        <v>836.906581999998</v>
      </c>
      <c r="K482" s="4" t="n">
        <f aca="false">偿债原表!F7</f>
        <v>1400</v>
      </c>
      <c r="L482" s="4" t="n">
        <f aca="false">偿债原表!G7</f>
        <v>1107.58</v>
      </c>
      <c r="M482" s="4" t="n">
        <f aca="false">K482+L482</f>
        <v>2507.58</v>
      </c>
      <c r="N482" s="4" t="n">
        <f aca="false">J482-M482</f>
        <v>-1670.673418</v>
      </c>
      <c r="O482" s="4" t="n">
        <f aca="false">O481+N482</f>
        <v>-7475.193418</v>
      </c>
      <c r="P482" s="4" t="n">
        <f aca="false">MAX(0,-(R481+N482))</f>
        <v>1670.673418</v>
      </c>
      <c r="Q482" s="4" t="n">
        <f aca="false">Q481+P482</f>
        <v>7475.193418</v>
      </c>
      <c r="R482" s="4" t="n">
        <f aca="false">O482+Q482</f>
        <v>0</v>
      </c>
    </row>
    <row r="483" customFormat="false" ht="15" hidden="false" customHeight="false" outlineLevel="0" collapsed="false">
      <c r="A483" s="2" t="s">
        <v>52</v>
      </c>
      <c r="B483" s="2" t="s">
        <v>40</v>
      </c>
      <c r="C483" s="12" t="n">
        <v>6</v>
      </c>
      <c r="D483" s="12" t="n">
        <v>2029</v>
      </c>
      <c r="E483" s="4" t="n">
        <f aca="false">INDEX(驱动复算!A7:X7,1,情景参数!B14)</f>
        <v>9911.9048</v>
      </c>
      <c r="F483" s="4" t="n">
        <f aca="false">E483*(1-情景参数!D14)</f>
        <v>9416.30956</v>
      </c>
      <c r="G483" s="4" t="n">
        <f aca="false">IF(情景参数!E14="原表",驱动复算!U7-驱动复算!W7,驱动复算!P7)</f>
        <v>7575.65</v>
      </c>
      <c r="H483" s="4" t="n">
        <f aca="false">IF(情景参数!E14="原表",驱动复算!W7,F483*情景参数!C14)</f>
        <v>470.815478</v>
      </c>
      <c r="I483" s="4" t="n">
        <f aca="false">IF(情景参数!E14="原表",驱动复算!U7,G483+H483)</f>
        <v>8046.465478</v>
      </c>
      <c r="J483" s="4" t="n">
        <f aca="false">(F483-I483)*(1-情景参数!F14)</f>
        <v>1369.844082</v>
      </c>
      <c r="K483" s="4" t="n">
        <f aca="false">偿债原表!F8</f>
        <v>0</v>
      </c>
      <c r="L483" s="4" t="n">
        <f aca="false">偿债原表!G8</f>
        <v>1075.8</v>
      </c>
      <c r="M483" s="4" t="n">
        <f aca="false">K483+L483</f>
        <v>1075.8</v>
      </c>
      <c r="N483" s="4" t="n">
        <f aca="false">J483-M483</f>
        <v>294.044081999998</v>
      </c>
      <c r="O483" s="4" t="n">
        <f aca="false">O482+N483</f>
        <v>-7181.149336</v>
      </c>
      <c r="P483" s="4" t="n">
        <f aca="false">MAX(0,-(R482+N483))</f>
        <v>0</v>
      </c>
      <c r="Q483" s="4" t="n">
        <f aca="false">Q482+P483</f>
        <v>7475.193418</v>
      </c>
      <c r="R483" s="4" t="n">
        <f aca="false">O483+Q483</f>
        <v>294.044081999998</v>
      </c>
    </row>
    <row r="484" customFormat="false" ht="15" hidden="false" customHeight="false" outlineLevel="0" collapsed="false">
      <c r="A484" s="2" t="s">
        <v>52</v>
      </c>
      <c r="B484" s="2" t="s">
        <v>40</v>
      </c>
      <c r="C484" s="12" t="n">
        <v>7</v>
      </c>
      <c r="D484" s="12" t="n">
        <v>2030</v>
      </c>
      <c r="E484" s="4" t="n">
        <f aca="false">INDEX(驱动复算!A8:X8,1,情景参数!B14)</f>
        <v>10830.4048</v>
      </c>
      <c r="F484" s="4" t="n">
        <f aca="false">E484*(1-情景参数!D14)</f>
        <v>10288.88456</v>
      </c>
      <c r="G484" s="4" t="n">
        <f aca="false">IF(情景参数!E14="原表",驱动复算!U8-驱动复算!W8,驱动复算!P8)</f>
        <v>7802.9195</v>
      </c>
      <c r="H484" s="4" t="n">
        <f aca="false">IF(情景参数!E14="原表",驱动复算!W8,F484*情景参数!C14)</f>
        <v>514.444228</v>
      </c>
      <c r="I484" s="4" t="n">
        <f aca="false">IF(情景参数!E14="原表",驱动复算!U8,G484+H484)</f>
        <v>8317.363728</v>
      </c>
      <c r="J484" s="4" t="n">
        <f aca="false">(F484-I484)*(1-情景参数!F14)</f>
        <v>1971.520832</v>
      </c>
      <c r="K484" s="4" t="n">
        <f aca="false">偿债原表!F9</f>
        <v>0</v>
      </c>
      <c r="L484" s="4" t="n">
        <f aca="false">偿债原表!G9</f>
        <v>1075.8</v>
      </c>
      <c r="M484" s="4" t="n">
        <f aca="false">K484+L484</f>
        <v>1075.8</v>
      </c>
      <c r="N484" s="4" t="n">
        <f aca="false">J484-M484</f>
        <v>895.720832000002</v>
      </c>
      <c r="O484" s="4" t="n">
        <f aca="false">O483+N484</f>
        <v>-6285.428504</v>
      </c>
      <c r="P484" s="4" t="n">
        <f aca="false">MAX(0,-(R483+N484))</f>
        <v>0</v>
      </c>
      <c r="Q484" s="4" t="n">
        <f aca="false">Q483+P484</f>
        <v>7475.193418</v>
      </c>
      <c r="R484" s="4" t="n">
        <f aca="false">O484+Q484</f>
        <v>1189.764914</v>
      </c>
    </row>
    <row r="485" customFormat="false" ht="15" hidden="false" customHeight="false" outlineLevel="0" collapsed="false">
      <c r="A485" s="2" t="s">
        <v>52</v>
      </c>
      <c r="B485" s="2" t="s">
        <v>40</v>
      </c>
      <c r="C485" s="12" t="n">
        <v>8</v>
      </c>
      <c r="D485" s="12" t="n">
        <v>2031</v>
      </c>
      <c r="E485" s="4" t="n">
        <f aca="false">INDEX(驱动复算!A9:X9,1,情景参数!B14)</f>
        <v>11840.7548</v>
      </c>
      <c r="F485" s="4" t="n">
        <f aca="false">E485*(1-情景参数!D14)</f>
        <v>11248.71706</v>
      </c>
      <c r="G485" s="4" t="n">
        <f aca="false">IF(情景参数!E14="原表",驱动复算!U9-驱动复算!W9,驱动复算!P9)</f>
        <v>8037.007085</v>
      </c>
      <c r="H485" s="4" t="n">
        <f aca="false">IF(情景参数!E14="原表",驱动复算!W9,F485*情景参数!C14)</f>
        <v>562.435853</v>
      </c>
      <c r="I485" s="4" t="n">
        <f aca="false">IF(情景参数!E14="原表",驱动复算!U9,G485+H485)</f>
        <v>8599.442938</v>
      </c>
      <c r="J485" s="4" t="n">
        <f aca="false">(F485-I485)*(1-情景参数!F14)</f>
        <v>2649.274122</v>
      </c>
      <c r="K485" s="4" t="n">
        <f aca="false">偿债原表!F10</f>
        <v>0</v>
      </c>
      <c r="L485" s="4" t="n">
        <f aca="false">偿债原表!G10</f>
        <v>1075.8</v>
      </c>
      <c r="M485" s="4" t="n">
        <f aca="false">K485+L485</f>
        <v>1075.8</v>
      </c>
      <c r="N485" s="4" t="n">
        <f aca="false">J485-M485</f>
        <v>1573.474122</v>
      </c>
      <c r="O485" s="4" t="n">
        <f aca="false">O484+N485</f>
        <v>-4711.954382</v>
      </c>
      <c r="P485" s="4" t="n">
        <f aca="false">MAX(0,-(R484+N485))</f>
        <v>0</v>
      </c>
      <c r="Q485" s="4" t="n">
        <f aca="false">Q484+P485</f>
        <v>7475.193418</v>
      </c>
      <c r="R485" s="4" t="n">
        <f aca="false">O485+Q485</f>
        <v>2763.239036</v>
      </c>
    </row>
    <row r="486" customFormat="false" ht="15" hidden="false" customHeight="false" outlineLevel="0" collapsed="false">
      <c r="A486" s="2" t="s">
        <v>52</v>
      </c>
      <c r="B486" s="2" t="s">
        <v>40</v>
      </c>
      <c r="C486" s="12" t="n">
        <v>9</v>
      </c>
      <c r="D486" s="12" t="n">
        <v>2032</v>
      </c>
      <c r="E486" s="4" t="n">
        <f aca="false">INDEX(驱动复算!A10:X10,1,情景参数!B14)</f>
        <v>12952.1398</v>
      </c>
      <c r="F486" s="4" t="n">
        <f aca="false">E486*(1-情景参数!D14)</f>
        <v>12304.53281</v>
      </c>
      <c r="G486" s="4" t="n">
        <f aca="false">IF(情景参数!E14="原表",驱动复算!U10-驱动复算!W10,驱动复算!P10)</f>
        <v>8278.11729755</v>
      </c>
      <c r="H486" s="4" t="n">
        <f aca="false">IF(情景参数!E14="原表",驱动复算!W10,F486*情景参数!C14)</f>
        <v>615.2266405</v>
      </c>
      <c r="I486" s="4" t="n">
        <f aca="false">IF(情景参数!E14="原表",驱动复算!U10,G486+H486)</f>
        <v>8893.34393805</v>
      </c>
      <c r="J486" s="4" t="n">
        <f aca="false">(F486-I486)*(1-情景参数!F14)</f>
        <v>3411.18887195</v>
      </c>
      <c r="K486" s="4" t="n">
        <f aca="false">偿债原表!F11</f>
        <v>2000</v>
      </c>
      <c r="L486" s="4" t="n">
        <f aca="false">偿债原表!G11</f>
        <v>1075.8</v>
      </c>
      <c r="M486" s="4" t="n">
        <f aca="false">K486+L486</f>
        <v>3075.8</v>
      </c>
      <c r="N486" s="4" t="n">
        <f aca="false">J486-M486</f>
        <v>335.38887195</v>
      </c>
      <c r="O486" s="4" t="n">
        <f aca="false">O485+N486</f>
        <v>-4376.56551005</v>
      </c>
      <c r="P486" s="4" t="n">
        <f aca="false">MAX(0,-(R485+N486))</f>
        <v>0</v>
      </c>
      <c r="Q486" s="4" t="n">
        <f aca="false">Q485+P486</f>
        <v>7475.193418</v>
      </c>
      <c r="R486" s="4" t="n">
        <f aca="false">O486+Q486</f>
        <v>3098.62790795</v>
      </c>
    </row>
    <row r="487" customFormat="false" ht="15" hidden="false" customHeight="false" outlineLevel="0" collapsed="false">
      <c r="A487" s="2" t="s">
        <v>52</v>
      </c>
      <c r="B487" s="2" t="s">
        <v>40</v>
      </c>
      <c r="C487" s="12" t="n">
        <v>10</v>
      </c>
      <c r="D487" s="12" t="n">
        <v>2033</v>
      </c>
      <c r="E487" s="4" t="n">
        <f aca="false">INDEX(驱动复算!A11:X11,1,情景参数!B14)</f>
        <v>13687.09275</v>
      </c>
      <c r="F487" s="4" t="n">
        <f aca="false">E487*(1-情景参数!D14)</f>
        <v>13002.7381125</v>
      </c>
      <c r="G487" s="4" t="n">
        <f aca="false">IF(情景参数!E14="原表",驱动复算!U11-驱动复算!W11,驱动复算!P11)</f>
        <v>8526.4608164765</v>
      </c>
      <c r="H487" s="4" t="n">
        <f aca="false">IF(情景参数!E14="原表",驱动复算!W11,F487*情景参数!C14)</f>
        <v>650.136905625</v>
      </c>
      <c r="I487" s="4" t="n">
        <f aca="false">IF(情景参数!E14="原表",驱动复算!U11,G487+H487)</f>
        <v>9176.5977221015</v>
      </c>
      <c r="J487" s="4" t="n">
        <f aca="false">(F487-I487)*(1-情景参数!F14)</f>
        <v>3826.1403903985</v>
      </c>
      <c r="K487" s="4" t="n">
        <f aca="false">偿债原表!F12</f>
        <v>9600</v>
      </c>
      <c r="L487" s="4" t="n">
        <f aca="false">偿债原表!G12</f>
        <v>1018.8</v>
      </c>
      <c r="M487" s="4" t="n">
        <f aca="false">K487+L487</f>
        <v>10618.8</v>
      </c>
      <c r="N487" s="4" t="n">
        <f aca="false">J487-M487</f>
        <v>-6792.6596096015</v>
      </c>
      <c r="O487" s="4" t="n">
        <f aca="false">O486+N487</f>
        <v>-11169.2251196515</v>
      </c>
      <c r="P487" s="4" t="n">
        <f aca="false">MAX(0,-(R486+N487))</f>
        <v>3694.0317016515</v>
      </c>
      <c r="Q487" s="4" t="n">
        <f aca="false">Q486+P487</f>
        <v>11169.2251196515</v>
      </c>
      <c r="R487" s="4" t="n">
        <f aca="false">O487+Q487</f>
        <v>0</v>
      </c>
    </row>
    <row r="488" customFormat="false" ht="15" hidden="false" customHeight="false" outlineLevel="0" collapsed="false">
      <c r="A488" s="2" t="s">
        <v>52</v>
      </c>
      <c r="B488" s="2" t="s">
        <v>40</v>
      </c>
      <c r="C488" s="12" t="n">
        <v>11</v>
      </c>
      <c r="D488" s="12" t="n">
        <v>2034</v>
      </c>
      <c r="E488" s="4" t="n">
        <f aca="false">INDEX(驱动复算!A12:X12,1,情景参数!B14)</f>
        <v>14328.9175875</v>
      </c>
      <c r="F488" s="4" t="n">
        <f aca="false">E488*(1-情景参数!D14)</f>
        <v>13612.471708125</v>
      </c>
      <c r="G488" s="4" t="n">
        <f aca="false">IF(情景参数!E14="原表",驱动复算!U12-驱动复算!W12,驱动复算!P12)</f>
        <v>8782.2546409708</v>
      </c>
      <c r="H488" s="4" t="n">
        <f aca="false">IF(情景参数!E14="原表",驱动复算!W12,F488*情景参数!C14)</f>
        <v>680.62358540625</v>
      </c>
      <c r="I488" s="4" t="n">
        <f aca="false">IF(情景参数!E14="原表",驱动复算!U12,G488+H488)</f>
        <v>9462.87822637705</v>
      </c>
      <c r="J488" s="4" t="n">
        <f aca="false">(F488-I488)*(1-情景参数!F14)</f>
        <v>4149.59348174796</v>
      </c>
      <c r="K488" s="4" t="n">
        <f aca="false">偿债原表!F13</f>
        <v>0</v>
      </c>
      <c r="L488" s="4" t="n">
        <f aca="false">偿债原表!G13</f>
        <v>673.2</v>
      </c>
      <c r="M488" s="4" t="n">
        <f aca="false">K488+L488</f>
        <v>673.2</v>
      </c>
      <c r="N488" s="4" t="n">
        <f aca="false">J488-M488</f>
        <v>3476.39348174796</v>
      </c>
      <c r="O488" s="4" t="n">
        <f aca="false">O487+N488</f>
        <v>-7692.83163790354</v>
      </c>
      <c r="P488" s="4" t="n">
        <f aca="false">MAX(0,-(R487+N488))</f>
        <v>0</v>
      </c>
      <c r="Q488" s="4" t="n">
        <f aca="false">Q487+P488</f>
        <v>11169.2251196515</v>
      </c>
      <c r="R488" s="4" t="n">
        <f aca="false">O488+Q488</f>
        <v>3476.39348174796</v>
      </c>
    </row>
    <row r="489" customFormat="false" ht="15" hidden="false" customHeight="false" outlineLevel="0" collapsed="false">
      <c r="A489" s="2" t="s">
        <v>52</v>
      </c>
      <c r="B489" s="2" t="s">
        <v>40</v>
      </c>
      <c r="C489" s="12" t="n">
        <v>12</v>
      </c>
      <c r="D489" s="12" t="n">
        <v>2035</v>
      </c>
      <c r="E489" s="4" t="n">
        <f aca="false">INDEX(驱动复算!A13:X13,1,情景参数!B14)</f>
        <v>15002.833666875</v>
      </c>
      <c r="F489" s="4" t="n">
        <f aca="false">E489*(1-情景参数!D14)</f>
        <v>14252.6919835313</v>
      </c>
      <c r="G489" s="4" t="n">
        <f aca="false">IF(情景参数!E14="原表",驱动复算!U13-驱动复算!W13,驱动复算!P13)</f>
        <v>9045.72228019992</v>
      </c>
      <c r="H489" s="4" t="n">
        <f aca="false">IF(情景参数!E14="原表",驱动复算!W13,F489*情景参数!C14)</f>
        <v>712.634599176563</v>
      </c>
      <c r="I489" s="4" t="n">
        <f aca="false">IF(情景参数!E14="原表",驱动复算!U13,G489+H489)</f>
        <v>9758.35687937648</v>
      </c>
      <c r="J489" s="4" t="n">
        <f aca="false">(F489-I489)*(1-情景参数!F14)</f>
        <v>4494.33510415477</v>
      </c>
      <c r="K489" s="4" t="n">
        <f aca="false">偿债原表!F14</f>
        <v>0</v>
      </c>
      <c r="L489" s="4" t="n">
        <f aca="false">偿债原表!G14</f>
        <v>673.2</v>
      </c>
      <c r="M489" s="4" t="n">
        <f aca="false">K489+L489</f>
        <v>673.2</v>
      </c>
      <c r="N489" s="4" t="n">
        <f aca="false">J489-M489</f>
        <v>3821.13510415477</v>
      </c>
      <c r="O489" s="4" t="n">
        <f aca="false">O488+N489</f>
        <v>-3871.69653374877</v>
      </c>
      <c r="P489" s="4" t="n">
        <f aca="false">MAX(0,-(R488+N489))</f>
        <v>0</v>
      </c>
      <c r="Q489" s="4" t="n">
        <f aca="false">Q488+P489</f>
        <v>11169.2251196515</v>
      </c>
      <c r="R489" s="4" t="n">
        <f aca="false">O489+Q489</f>
        <v>7297.52858590273</v>
      </c>
    </row>
    <row r="490" customFormat="false" ht="15" hidden="false" customHeight="false" outlineLevel="0" collapsed="false">
      <c r="A490" s="2" t="s">
        <v>52</v>
      </c>
      <c r="B490" s="2" t="s">
        <v>40</v>
      </c>
      <c r="C490" s="12" t="n">
        <v>13</v>
      </c>
      <c r="D490" s="12" t="n">
        <v>2036</v>
      </c>
      <c r="E490" s="4" t="n">
        <f aca="false">INDEX(驱动复算!A14:X14,1,情景参数!B14)</f>
        <v>15710.4455502188</v>
      </c>
      <c r="F490" s="4" t="n">
        <f aca="false">E490*(1-情景参数!D14)</f>
        <v>14924.9232727078</v>
      </c>
      <c r="G490" s="4" t="n">
        <f aca="false">IF(情景参数!E14="原表",驱动复算!U14-驱动复算!W14,驱动复算!P14)</f>
        <v>9317.09394860592</v>
      </c>
      <c r="H490" s="4" t="n">
        <f aca="false">IF(情景参数!E14="原表",驱动复算!W14,F490*情景参数!C14)</f>
        <v>746.246163635391</v>
      </c>
      <c r="I490" s="4" t="n">
        <f aca="false">IF(情景参数!E14="原表",驱动复算!U14,G490+H490)</f>
        <v>10063.3401122413</v>
      </c>
      <c r="J490" s="4" t="n">
        <f aca="false">(F490-I490)*(1-情景参数!F14)</f>
        <v>4861.58316046651</v>
      </c>
      <c r="K490" s="4" t="n">
        <f aca="false">偿债原表!F15</f>
        <v>0</v>
      </c>
      <c r="L490" s="4" t="n">
        <f aca="false">偿债原表!G15</f>
        <v>673.2</v>
      </c>
      <c r="M490" s="4" t="n">
        <f aca="false">K490+L490</f>
        <v>673.2</v>
      </c>
      <c r="N490" s="4" t="n">
        <f aca="false">J490-M490</f>
        <v>4188.38316046651</v>
      </c>
      <c r="O490" s="4" t="n">
        <f aca="false">O489+N490</f>
        <v>316.686626717746</v>
      </c>
      <c r="P490" s="4" t="n">
        <f aca="false">MAX(0,-(R489+N490))</f>
        <v>0</v>
      </c>
      <c r="Q490" s="4" t="n">
        <f aca="false">Q489+P490</f>
        <v>11169.2251196515</v>
      </c>
      <c r="R490" s="4" t="n">
        <f aca="false">O490+Q490</f>
        <v>11485.9117463692</v>
      </c>
    </row>
    <row r="491" customFormat="false" ht="15" hidden="false" customHeight="false" outlineLevel="0" collapsed="false">
      <c r="A491" s="2" t="s">
        <v>52</v>
      </c>
      <c r="B491" s="2" t="s">
        <v>40</v>
      </c>
      <c r="C491" s="12" t="n">
        <v>14</v>
      </c>
      <c r="D491" s="12" t="n">
        <v>2037</v>
      </c>
      <c r="E491" s="4" t="n">
        <f aca="false">INDEX(驱动复算!A15:X15,1,情景参数!B14)</f>
        <v>16453.4380277297</v>
      </c>
      <c r="F491" s="4" t="n">
        <f aca="false">E491*(1-情景参数!D14)</f>
        <v>15630.7661263432</v>
      </c>
      <c r="G491" s="4" t="n">
        <f aca="false">IF(情景参数!E14="原表",驱动复算!U15-驱动复算!W15,驱动复算!P15)</f>
        <v>9596.6067670641</v>
      </c>
      <c r="H491" s="4" t="n">
        <f aca="false">IF(情景参数!E14="原表",驱动复算!W15,F491*情景参数!C14)</f>
        <v>781.538306317161</v>
      </c>
      <c r="I491" s="4" t="n">
        <f aca="false">IF(情景参数!E14="原表",驱动复算!U15,G491+H491)</f>
        <v>10378.1450733813</v>
      </c>
      <c r="J491" s="4" t="n">
        <f aca="false">(F491-I491)*(1-情景参数!F14)</f>
        <v>5252.62105296196</v>
      </c>
      <c r="K491" s="4" t="n">
        <f aca="false">偿债原表!F16</f>
        <v>1000</v>
      </c>
      <c r="L491" s="4" t="n">
        <f aca="false">偿债原表!G16</f>
        <v>673.2</v>
      </c>
      <c r="M491" s="4" t="n">
        <f aca="false">K491+L491</f>
        <v>1673.2</v>
      </c>
      <c r="N491" s="4" t="n">
        <f aca="false">J491-M491</f>
        <v>3579.42105296196</v>
      </c>
      <c r="O491" s="4" t="n">
        <f aca="false">O490+N491</f>
        <v>3896.1076796797</v>
      </c>
      <c r="P491" s="4" t="n">
        <f aca="false">MAX(0,-(R490+N491))</f>
        <v>0</v>
      </c>
      <c r="Q491" s="4" t="n">
        <f aca="false">Q490+P491</f>
        <v>11169.2251196515</v>
      </c>
      <c r="R491" s="4" t="n">
        <f aca="false">O491+Q491</f>
        <v>15065.3327993312</v>
      </c>
    </row>
    <row r="492" customFormat="false" ht="15" hidden="false" customHeight="false" outlineLevel="0" collapsed="false">
      <c r="A492" s="2" t="s">
        <v>52</v>
      </c>
      <c r="B492" s="2" t="s">
        <v>40</v>
      </c>
      <c r="C492" s="12" t="n">
        <v>15</v>
      </c>
      <c r="D492" s="12" t="n">
        <v>2038</v>
      </c>
      <c r="E492" s="4" t="n">
        <f aca="false">INDEX(驱动复算!A16:X16,1,情景参数!B14)</f>
        <v>16792.3004682843</v>
      </c>
      <c r="F492" s="4" t="n">
        <f aca="false">E492*(1-情景参数!D14)</f>
        <v>15952.6854448701</v>
      </c>
      <c r="G492" s="4" t="n">
        <f aca="false">IF(情景参数!E14="原表",驱动复算!U16-驱动复算!W16,驱动复算!P16)</f>
        <v>9884.50497007602</v>
      </c>
      <c r="H492" s="4" t="n">
        <f aca="false">IF(情景参数!E14="原表",驱动复算!W16,F492*情景参数!C14)</f>
        <v>797.634272243504</v>
      </c>
      <c r="I492" s="4" t="n">
        <f aca="false">IF(情景参数!E14="原表",驱动复算!U16,G492+H492)</f>
        <v>10682.1392423195</v>
      </c>
      <c r="J492" s="4" t="n">
        <f aca="false">(F492-I492)*(1-情景参数!F14)</f>
        <v>5270.54620255055</v>
      </c>
      <c r="K492" s="4" t="n">
        <f aca="false">偿债原表!F17</f>
        <v>0</v>
      </c>
      <c r="L492" s="4" t="n">
        <f aca="false">偿债原表!G17</f>
        <v>644</v>
      </c>
      <c r="M492" s="4" t="n">
        <f aca="false">K492+L492</f>
        <v>644</v>
      </c>
      <c r="N492" s="4" t="n">
        <f aca="false">J492-M492</f>
        <v>4626.54620255055</v>
      </c>
      <c r="O492" s="4" t="n">
        <f aca="false">O491+N492</f>
        <v>8522.65388223025</v>
      </c>
      <c r="P492" s="4" t="n">
        <f aca="false">MAX(0,-(R491+N492))</f>
        <v>0</v>
      </c>
      <c r="Q492" s="4" t="n">
        <f aca="false">Q491+P492</f>
        <v>11169.2251196515</v>
      </c>
      <c r="R492" s="4" t="n">
        <f aca="false">O492+Q492</f>
        <v>19691.8790018818</v>
      </c>
    </row>
    <row r="493" customFormat="false" ht="15" hidden="false" customHeight="false" outlineLevel="0" collapsed="false">
      <c r="A493" s="2" t="s">
        <v>52</v>
      </c>
      <c r="B493" s="2" t="s">
        <v>40</v>
      </c>
      <c r="C493" s="12" t="n">
        <v>16</v>
      </c>
      <c r="D493" s="12" t="n">
        <v>2039</v>
      </c>
      <c r="E493" s="4" t="n">
        <f aca="false">INDEX(驱动复算!A17:X17,1,情景参数!B14)</f>
        <v>17110.59844565</v>
      </c>
      <c r="F493" s="4" t="n">
        <f aca="false">E493*(1-情景参数!D14)</f>
        <v>16255.0685233675</v>
      </c>
      <c r="G493" s="4" t="n">
        <f aca="false">IF(情景参数!E14="原表",驱动复算!U17-驱动复算!W17,驱动复算!P17)</f>
        <v>10181.0401191783</v>
      </c>
      <c r="H493" s="4" t="n">
        <f aca="false">IF(情景参数!E14="原表",驱动复算!W17,F493*情景参数!C14)</f>
        <v>812.753426168374</v>
      </c>
      <c r="I493" s="4" t="n">
        <f aca="false">IF(情景参数!E14="原表",驱动复算!U17,G493+H493)</f>
        <v>10993.7935453467</v>
      </c>
      <c r="J493" s="4" t="n">
        <f aca="false">(F493-I493)*(1-情景参数!F14)</f>
        <v>5261.27497802081</v>
      </c>
      <c r="K493" s="4" t="n">
        <f aca="false">偿债原表!F18</f>
        <v>0</v>
      </c>
      <c r="L493" s="4" t="n">
        <f aca="false">偿债原表!G18</f>
        <v>644</v>
      </c>
      <c r="M493" s="4" t="n">
        <f aca="false">K493+L493</f>
        <v>644</v>
      </c>
      <c r="N493" s="4" t="n">
        <f aca="false">J493-M493</f>
        <v>4617.27497802081</v>
      </c>
      <c r="O493" s="4" t="n">
        <f aca="false">O492+N493</f>
        <v>13139.9288602511</v>
      </c>
      <c r="P493" s="4" t="n">
        <f aca="false">MAX(0,-(R492+N493))</f>
        <v>0</v>
      </c>
      <c r="Q493" s="4" t="n">
        <f aca="false">Q492+P493</f>
        <v>11169.2251196515</v>
      </c>
      <c r="R493" s="4" t="n">
        <f aca="false">O493+Q493</f>
        <v>24309.1539799026</v>
      </c>
    </row>
    <row r="494" customFormat="false" ht="15" hidden="false" customHeight="false" outlineLevel="0" collapsed="false">
      <c r="A494" s="2" t="s">
        <v>52</v>
      </c>
      <c r="B494" s="2" t="s">
        <v>40</v>
      </c>
      <c r="C494" s="12" t="n">
        <v>17</v>
      </c>
      <c r="D494" s="12" t="n">
        <v>2040</v>
      </c>
      <c r="E494" s="4" t="n">
        <f aca="false">INDEX(驱动复算!A18:X18,1,情景参数!B14)</f>
        <v>17435.262382563</v>
      </c>
      <c r="F494" s="4" t="n">
        <f aca="false">E494*(1-情景参数!D14)</f>
        <v>16563.4992634348</v>
      </c>
      <c r="G494" s="4" t="n">
        <f aca="false">IF(情景参数!E14="原表",驱动复算!U18-驱动复算!W18,驱动复算!P18)</f>
        <v>10486.4713227536</v>
      </c>
      <c r="H494" s="4" t="n">
        <f aca="false">IF(情景参数!E14="原表",驱动复算!W18,F494*情景参数!C14)</f>
        <v>828.174963171742</v>
      </c>
      <c r="I494" s="4" t="n">
        <f aca="false">IF(情景参数!E14="原表",驱动复算!U18,G494+H494)</f>
        <v>11314.6462859254</v>
      </c>
      <c r="J494" s="4" t="n">
        <f aca="false">(F494-I494)*(1-情景参数!F14)</f>
        <v>5248.85297750944</v>
      </c>
      <c r="K494" s="4" t="n">
        <f aca="false">偿债原表!F19</f>
        <v>0</v>
      </c>
      <c r="L494" s="4" t="n">
        <f aca="false">偿债原表!G19</f>
        <v>644</v>
      </c>
      <c r="M494" s="4" t="n">
        <f aca="false">K494+L494</f>
        <v>644</v>
      </c>
      <c r="N494" s="4" t="n">
        <f aca="false">J494-M494</f>
        <v>4604.85297750944</v>
      </c>
      <c r="O494" s="4" t="n">
        <f aca="false">O493+N494</f>
        <v>17744.7818377605</v>
      </c>
      <c r="P494" s="4" t="n">
        <f aca="false">MAX(0,-(R493+N494))</f>
        <v>0</v>
      </c>
      <c r="Q494" s="4" t="n">
        <f aca="false">Q493+P494</f>
        <v>11169.2251196515</v>
      </c>
      <c r="R494" s="4" t="n">
        <f aca="false">O494+Q494</f>
        <v>28914.006957412</v>
      </c>
    </row>
    <row r="495" customFormat="false" ht="15" hidden="false" customHeight="false" outlineLevel="0" collapsed="false">
      <c r="A495" s="2" t="s">
        <v>52</v>
      </c>
      <c r="B495" s="2" t="s">
        <v>40</v>
      </c>
      <c r="C495" s="12" t="n">
        <v>18</v>
      </c>
      <c r="D495" s="12" t="n">
        <v>2041</v>
      </c>
      <c r="E495" s="4" t="n">
        <f aca="false">INDEX(驱动复算!A19:X19,1,情景参数!B14)</f>
        <v>17766.4195982142</v>
      </c>
      <c r="F495" s="4" t="n">
        <f aca="false">E495*(1-情景参数!D14)</f>
        <v>16878.0986183035</v>
      </c>
      <c r="G495" s="4" t="n">
        <f aca="false">IF(情景参数!E14="原表",驱动复算!U19-驱动复算!W19,驱动复算!P19)</f>
        <v>10801.0654624363</v>
      </c>
      <c r="H495" s="4" t="n">
        <f aca="false">IF(情景参数!E14="原表",驱动复算!W19,F495*情景参数!C14)</f>
        <v>843.904930915176</v>
      </c>
      <c r="I495" s="4" t="n">
        <f aca="false">IF(情景参数!E14="原表",驱动复算!U19,G495+H495)</f>
        <v>11644.9703933514</v>
      </c>
      <c r="J495" s="4" t="n">
        <f aca="false">(F495-I495)*(1-情景参数!F14)</f>
        <v>5233.12822495209</v>
      </c>
      <c r="K495" s="4" t="n">
        <f aca="false">偿债原表!F20</f>
        <v>20000</v>
      </c>
      <c r="L495" s="4" t="n">
        <f aca="false">偿债原表!G20</f>
        <v>644</v>
      </c>
      <c r="M495" s="4" t="n">
        <f aca="false">K495+L495</f>
        <v>20644</v>
      </c>
      <c r="N495" s="4" t="n">
        <f aca="false">J495-M495</f>
        <v>-15410.8717750479</v>
      </c>
      <c r="O495" s="4" t="n">
        <f aca="false">O494+N495</f>
        <v>2333.91006271259</v>
      </c>
      <c r="P495" s="4" t="n">
        <f aca="false">MAX(0,-(R494+N495))</f>
        <v>0</v>
      </c>
      <c r="Q495" s="4" t="n">
        <f aca="false">Q494+P495</f>
        <v>11169.2251196515</v>
      </c>
      <c r="R495" s="4" t="n">
        <f aca="false">O495+Q495</f>
        <v>13503.1351823641</v>
      </c>
    </row>
    <row r="496" customFormat="false" ht="15" hidden="false" customHeight="false" outlineLevel="0" collapsed="false">
      <c r="A496" s="2" t="s">
        <v>53</v>
      </c>
      <c r="B496" s="2" t="s">
        <v>39</v>
      </c>
      <c r="C496" s="12" t="n">
        <v>0</v>
      </c>
      <c r="D496" s="13" t="s">
        <v>248</v>
      </c>
      <c r="E496" s="4" t="n">
        <f aca="false">0</f>
        <v>0</v>
      </c>
      <c r="F496" s="4" t="n">
        <f aca="false">E496*(1-情景参数!D15)</f>
        <v>0</v>
      </c>
      <c r="G496" s="4" t="n">
        <f aca="false">0</f>
        <v>0</v>
      </c>
      <c r="H496" s="4" t="n">
        <f aca="false">0</f>
        <v>0</v>
      </c>
      <c r="I496" s="4" t="n">
        <f aca="false">0</f>
        <v>0</v>
      </c>
      <c r="J496" s="4" t="n">
        <f aca="false">(F496-I496)*(1-情景参数!F15)</f>
        <v>0</v>
      </c>
      <c r="K496" s="4" t="n">
        <f aca="false">偿债原表!C2</f>
        <v>0</v>
      </c>
      <c r="L496" s="4" t="n">
        <f aca="false">偿债原表!D2</f>
        <v>1374.2</v>
      </c>
      <c r="M496" s="4" t="n">
        <f aca="false">K496+L496</f>
        <v>1374.2</v>
      </c>
      <c r="N496" s="4" t="n">
        <f aca="false">J496-M496</f>
        <v>-1374.2</v>
      </c>
      <c r="O496" s="4" t="n">
        <f aca="false">N496</f>
        <v>-1374.2</v>
      </c>
      <c r="P496" s="4" t="n">
        <f aca="false">MAX(0,-N496)</f>
        <v>1374.2</v>
      </c>
      <c r="Q496" s="4" t="n">
        <f aca="false">P496</f>
        <v>1374.2</v>
      </c>
      <c r="R496" s="4" t="n">
        <f aca="false">O496+Q496</f>
        <v>0</v>
      </c>
    </row>
    <row r="497" customFormat="false" ht="15" hidden="false" customHeight="false" outlineLevel="0" collapsed="false">
      <c r="A497" s="2" t="s">
        <v>53</v>
      </c>
      <c r="B497" s="2" t="s">
        <v>39</v>
      </c>
      <c r="C497" s="12" t="n">
        <v>1</v>
      </c>
      <c r="D497" s="12" t="n">
        <v>2024</v>
      </c>
      <c r="E497" s="4" t="n">
        <f aca="false">INDEX(驱动复算!A2:X2,1,情景参数!B15)</f>
        <v>0</v>
      </c>
      <c r="F497" s="4" t="n">
        <f aca="false">E497*(1-情景参数!D15)</f>
        <v>0</v>
      </c>
      <c r="G497" s="4" t="n">
        <f aca="false">IF(情景参数!E15="原表",驱动复算!U2-驱动复算!W2,驱动复算!P2)</f>
        <v>0</v>
      </c>
      <c r="H497" s="4" t="n">
        <f aca="false">IF(情景参数!E15="原表",驱动复算!W2,F497*情景参数!C15)</f>
        <v>0</v>
      </c>
      <c r="I497" s="4" t="n">
        <f aca="false">IF(情景参数!E15="原表",驱动复算!U2,G497+H497)</f>
        <v>0</v>
      </c>
      <c r="J497" s="4" t="n">
        <f aca="false">(F497-I497)*(1-情景参数!F15)</f>
        <v>0</v>
      </c>
      <c r="K497" s="4" t="n">
        <f aca="false">偿债原表!C3</f>
        <v>0</v>
      </c>
      <c r="L497" s="4" t="n">
        <f aca="false">偿债原表!D3</f>
        <v>1093.2</v>
      </c>
      <c r="M497" s="4" t="n">
        <f aca="false">K497+L497</f>
        <v>1093.2</v>
      </c>
      <c r="N497" s="4" t="n">
        <f aca="false">J497-M497</f>
        <v>-1093.2</v>
      </c>
      <c r="O497" s="4" t="n">
        <f aca="false">O496+N497</f>
        <v>-2467.4</v>
      </c>
      <c r="P497" s="4" t="n">
        <f aca="false">MAX(0,-(R496+N497))</f>
        <v>1093.2</v>
      </c>
      <c r="Q497" s="4" t="n">
        <f aca="false">Q496+P497</f>
        <v>2467.4</v>
      </c>
      <c r="R497" s="4" t="n">
        <f aca="false">O497+Q497</f>
        <v>0</v>
      </c>
    </row>
    <row r="498" customFormat="false" ht="15" hidden="false" customHeight="false" outlineLevel="0" collapsed="false">
      <c r="A498" s="2" t="s">
        <v>53</v>
      </c>
      <c r="B498" s="2" t="s">
        <v>39</v>
      </c>
      <c r="C498" s="12" t="n">
        <v>2</v>
      </c>
      <c r="D498" s="12" t="n">
        <v>2025</v>
      </c>
      <c r="E498" s="4" t="n">
        <f aca="false">INDEX(驱动复算!A3:X3,1,情景参数!B15)</f>
        <v>0</v>
      </c>
      <c r="F498" s="4" t="n">
        <f aca="false">E498*(1-情景参数!D15)</f>
        <v>0</v>
      </c>
      <c r="G498" s="4" t="n">
        <f aca="false">IF(情景参数!E15="原表",驱动复算!U3-驱动复算!W3,驱动复算!P3)</f>
        <v>0</v>
      </c>
      <c r="H498" s="4" t="n">
        <f aca="false">IF(情景参数!E15="原表",驱动复算!W3,F498*情景参数!C15)</f>
        <v>0</v>
      </c>
      <c r="I498" s="4" t="n">
        <f aca="false">IF(情景参数!E15="原表",驱动复算!U3,G498+H498)</f>
        <v>0</v>
      </c>
      <c r="J498" s="4" t="n">
        <f aca="false">(F498-I498)*(1-情景参数!F15)</f>
        <v>0</v>
      </c>
      <c r="K498" s="4" t="n">
        <f aca="false">偿债原表!C4</f>
        <v>0</v>
      </c>
      <c r="L498" s="4" t="n">
        <f aca="false">偿债原表!D4</f>
        <v>1093.2</v>
      </c>
      <c r="M498" s="4" t="n">
        <f aca="false">K498+L498</f>
        <v>1093.2</v>
      </c>
      <c r="N498" s="4" t="n">
        <f aca="false">J498-M498</f>
        <v>-1093.2</v>
      </c>
      <c r="O498" s="4" t="n">
        <f aca="false">O497+N498</f>
        <v>-3560.6</v>
      </c>
      <c r="P498" s="4" t="n">
        <f aca="false">MAX(0,-(R497+N498))</f>
        <v>1093.2</v>
      </c>
      <c r="Q498" s="4" t="n">
        <f aca="false">Q497+P498</f>
        <v>3560.6</v>
      </c>
      <c r="R498" s="4" t="n">
        <f aca="false">O498+Q498</f>
        <v>0</v>
      </c>
    </row>
    <row r="499" customFormat="false" ht="15" hidden="false" customHeight="false" outlineLevel="0" collapsed="false">
      <c r="A499" s="2" t="s">
        <v>53</v>
      </c>
      <c r="B499" s="2" t="s">
        <v>39</v>
      </c>
      <c r="C499" s="12" t="n">
        <v>3</v>
      </c>
      <c r="D499" s="12" t="n">
        <v>2026</v>
      </c>
      <c r="E499" s="4" t="n">
        <f aca="false">INDEX(驱动复算!A4:X4,1,情景参数!B15)</f>
        <v>0</v>
      </c>
      <c r="F499" s="4" t="n">
        <f aca="false">E499*(1-情景参数!D15)</f>
        <v>0</v>
      </c>
      <c r="G499" s="4" t="n">
        <f aca="false">IF(情景参数!E15="原表",驱动复算!U4-驱动复算!W4,驱动复算!P4)</f>
        <v>0</v>
      </c>
      <c r="H499" s="4" t="n">
        <f aca="false">IF(情景参数!E15="原表",驱动复算!W4,F499*情景参数!C15)</f>
        <v>0</v>
      </c>
      <c r="I499" s="4" t="n">
        <f aca="false">IF(情景参数!E15="原表",驱动复算!U4,G499+H499)</f>
        <v>0</v>
      </c>
      <c r="J499" s="4" t="n">
        <f aca="false">(F499-I499)*(1-情景参数!F15)</f>
        <v>0</v>
      </c>
      <c r="K499" s="4" t="n">
        <f aca="false">偿债原表!C5</f>
        <v>0</v>
      </c>
      <c r="L499" s="4" t="n">
        <f aca="false">偿债原表!D5</f>
        <v>1093.2</v>
      </c>
      <c r="M499" s="4" t="n">
        <f aca="false">K499+L499</f>
        <v>1093.2</v>
      </c>
      <c r="N499" s="4" t="n">
        <f aca="false">J499-M499</f>
        <v>-1093.2</v>
      </c>
      <c r="O499" s="4" t="n">
        <f aca="false">O498+N499</f>
        <v>-4653.8</v>
      </c>
      <c r="P499" s="4" t="n">
        <f aca="false">MAX(0,-(R498+N499))</f>
        <v>1093.2</v>
      </c>
      <c r="Q499" s="4" t="n">
        <f aca="false">Q498+P499</f>
        <v>4653.8</v>
      </c>
      <c r="R499" s="4" t="n">
        <f aca="false">O499+Q499</f>
        <v>0</v>
      </c>
    </row>
    <row r="500" customFormat="false" ht="15" hidden="false" customHeight="false" outlineLevel="0" collapsed="false">
      <c r="A500" s="2" t="s">
        <v>53</v>
      </c>
      <c r="B500" s="2" t="s">
        <v>39</v>
      </c>
      <c r="C500" s="12" t="n">
        <v>4</v>
      </c>
      <c r="D500" s="12" t="n">
        <v>2027</v>
      </c>
      <c r="E500" s="4" t="n">
        <f aca="false">INDEX(驱动复算!A5:X5,1,情景参数!B15)</f>
        <v>0</v>
      </c>
      <c r="F500" s="4" t="n">
        <f aca="false">E500*(1-情景参数!D15)</f>
        <v>0</v>
      </c>
      <c r="G500" s="4" t="n">
        <f aca="false">IF(情景参数!E15="原表",驱动复算!U5-驱动复算!W5,驱动复算!P5)</f>
        <v>0</v>
      </c>
      <c r="H500" s="4" t="n">
        <f aca="false">IF(情景参数!E15="原表",驱动复算!W5,F500*情景参数!C15)</f>
        <v>0</v>
      </c>
      <c r="I500" s="4" t="n">
        <f aca="false">IF(情景参数!E15="原表",驱动复算!U5,G500+H500)</f>
        <v>0</v>
      </c>
      <c r="J500" s="4" t="n">
        <f aca="false">(F500-I500)*(1-情景参数!F15)</f>
        <v>0</v>
      </c>
      <c r="K500" s="4" t="n">
        <f aca="false">偿债原表!C6</f>
        <v>0</v>
      </c>
      <c r="L500" s="4" t="n">
        <f aca="false">偿债原表!D6</f>
        <v>1093.2</v>
      </c>
      <c r="M500" s="4" t="n">
        <f aca="false">K500+L500</f>
        <v>1093.2</v>
      </c>
      <c r="N500" s="4" t="n">
        <f aca="false">J500-M500</f>
        <v>-1093.2</v>
      </c>
      <c r="O500" s="4" t="n">
        <f aca="false">O499+N500</f>
        <v>-5747</v>
      </c>
      <c r="P500" s="4" t="n">
        <f aca="false">MAX(0,-(R499+N500))</f>
        <v>1093.2</v>
      </c>
      <c r="Q500" s="4" t="n">
        <f aca="false">Q499+P500</f>
        <v>5747</v>
      </c>
      <c r="R500" s="4" t="n">
        <f aca="false">O500+Q500</f>
        <v>0</v>
      </c>
    </row>
    <row r="501" customFormat="false" ht="15" hidden="false" customHeight="false" outlineLevel="0" collapsed="false">
      <c r="A501" s="2" t="s">
        <v>53</v>
      </c>
      <c r="B501" s="2" t="s">
        <v>39</v>
      </c>
      <c r="C501" s="12" t="n">
        <v>5</v>
      </c>
      <c r="D501" s="12" t="n">
        <v>2028</v>
      </c>
      <c r="E501" s="4" t="n">
        <f aca="false">INDEX(驱动复算!A6:X6,1,情景参数!B15)</f>
        <v>9076.9048</v>
      </c>
      <c r="F501" s="4" t="n">
        <f aca="false">E501*(1-情景参数!D15)</f>
        <v>8623.05956</v>
      </c>
      <c r="G501" s="4" t="n">
        <f aca="false">IF(情景参数!E15="原表",驱动复算!U6-驱动复算!W6,驱动复算!P6)</f>
        <v>7355</v>
      </c>
      <c r="H501" s="4" t="n">
        <f aca="false">IF(情景参数!E15="原表",驱动复算!W6,F501*情景参数!C15)</f>
        <v>172.4611912</v>
      </c>
      <c r="I501" s="4" t="n">
        <f aca="false">IF(情景参数!E15="原表",驱动复算!U6,G501+H501)</f>
        <v>7527.4611912</v>
      </c>
      <c r="J501" s="4" t="n">
        <f aca="false">(F501-I501)*(1-情景参数!F15)</f>
        <v>1095.5983688</v>
      </c>
      <c r="K501" s="4" t="n">
        <f aca="false">偿债原表!C7</f>
        <v>11000</v>
      </c>
      <c r="L501" s="4" t="n">
        <f aca="false">偿债原表!D7</f>
        <v>1093.2</v>
      </c>
      <c r="M501" s="4" t="n">
        <f aca="false">K501+L501</f>
        <v>12093.2</v>
      </c>
      <c r="N501" s="4" t="n">
        <f aca="false">J501-M501</f>
        <v>-10997.6016312</v>
      </c>
      <c r="O501" s="4" t="n">
        <f aca="false">O500+N501</f>
        <v>-16744.6016312</v>
      </c>
      <c r="P501" s="4" t="n">
        <f aca="false">MAX(0,-(R500+N501))</f>
        <v>10997.6016312</v>
      </c>
      <c r="Q501" s="4" t="n">
        <f aca="false">Q500+P501</f>
        <v>16744.6016312</v>
      </c>
      <c r="R501" s="4" t="n">
        <f aca="false">O501+Q501</f>
        <v>0</v>
      </c>
    </row>
    <row r="502" customFormat="false" ht="15" hidden="false" customHeight="false" outlineLevel="0" collapsed="false">
      <c r="A502" s="2" t="s">
        <v>53</v>
      </c>
      <c r="B502" s="2" t="s">
        <v>39</v>
      </c>
      <c r="C502" s="12" t="n">
        <v>6</v>
      </c>
      <c r="D502" s="12" t="n">
        <v>2029</v>
      </c>
      <c r="E502" s="4" t="n">
        <f aca="false">INDEX(驱动复算!A7:X7,1,情景参数!B15)</f>
        <v>9911.9048</v>
      </c>
      <c r="F502" s="4" t="n">
        <f aca="false">E502*(1-情景参数!D15)</f>
        <v>9416.30956</v>
      </c>
      <c r="G502" s="4" t="n">
        <f aca="false">IF(情景参数!E15="原表",驱动复算!U7-驱动复算!W7,驱动复算!P7)</f>
        <v>7575.65</v>
      </c>
      <c r="H502" s="4" t="n">
        <f aca="false">IF(情景参数!E15="原表",驱动复算!W7,F502*情景参数!C15)</f>
        <v>188.3261912</v>
      </c>
      <c r="I502" s="4" t="n">
        <f aca="false">IF(情景参数!E15="原表",驱动复算!U7,G502+H502)</f>
        <v>7763.9761912</v>
      </c>
      <c r="J502" s="4" t="n">
        <f aca="false">(F502-I502)*(1-情景参数!F15)</f>
        <v>1652.3333688</v>
      </c>
      <c r="K502" s="4" t="n">
        <f aca="false">偿债原表!C8</f>
        <v>0</v>
      </c>
      <c r="L502" s="4" t="n">
        <f aca="false">偿债原表!D8</f>
        <v>730.2</v>
      </c>
      <c r="M502" s="4" t="n">
        <f aca="false">K502+L502</f>
        <v>730.2</v>
      </c>
      <c r="N502" s="4" t="n">
        <f aca="false">J502-M502</f>
        <v>922.133368799998</v>
      </c>
      <c r="O502" s="4" t="n">
        <f aca="false">O501+N502</f>
        <v>-15822.4682624</v>
      </c>
      <c r="P502" s="4" t="n">
        <f aca="false">MAX(0,-(R501+N502))</f>
        <v>0</v>
      </c>
      <c r="Q502" s="4" t="n">
        <f aca="false">Q501+P502</f>
        <v>16744.6016312</v>
      </c>
      <c r="R502" s="4" t="n">
        <f aca="false">O502+Q502</f>
        <v>922.133368799998</v>
      </c>
    </row>
    <row r="503" customFormat="false" ht="15" hidden="false" customHeight="false" outlineLevel="0" collapsed="false">
      <c r="A503" s="2" t="s">
        <v>53</v>
      </c>
      <c r="B503" s="2" t="s">
        <v>39</v>
      </c>
      <c r="C503" s="12" t="n">
        <v>7</v>
      </c>
      <c r="D503" s="12" t="n">
        <v>2030</v>
      </c>
      <c r="E503" s="4" t="n">
        <f aca="false">INDEX(驱动复算!A8:X8,1,情景参数!B15)</f>
        <v>10830.4048</v>
      </c>
      <c r="F503" s="4" t="n">
        <f aca="false">E503*(1-情景参数!D15)</f>
        <v>10288.88456</v>
      </c>
      <c r="G503" s="4" t="n">
        <f aca="false">IF(情景参数!E15="原表",驱动复算!U8-驱动复算!W8,驱动复算!P8)</f>
        <v>7802.9195</v>
      </c>
      <c r="H503" s="4" t="n">
        <f aca="false">IF(情景参数!E15="原表",驱动复算!W8,F503*情景参数!C15)</f>
        <v>205.7776912</v>
      </c>
      <c r="I503" s="4" t="n">
        <f aca="false">IF(情景参数!E15="原表",驱动复算!U8,G503+H503)</f>
        <v>8008.6971912</v>
      </c>
      <c r="J503" s="4" t="n">
        <f aca="false">(F503-I503)*(1-情景参数!F15)</f>
        <v>2280.1873688</v>
      </c>
      <c r="K503" s="4" t="n">
        <f aca="false">偿债原表!C9</f>
        <v>0</v>
      </c>
      <c r="L503" s="4" t="n">
        <f aca="false">偿债原表!D9</f>
        <v>730.2</v>
      </c>
      <c r="M503" s="4" t="n">
        <f aca="false">K503+L503</f>
        <v>730.2</v>
      </c>
      <c r="N503" s="4" t="n">
        <f aca="false">J503-M503</f>
        <v>1549.9873688</v>
      </c>
      <c r="O503" s="4" t="n">
        <f aca="false">O502+N503</f>
        <v>-14272.4808936</v>
      </c>
      <c r="P503" s="4" t="n">
        <f aca="false">MAX(0,-(R502+N503))</f>
        <v>0</v>
      </c>
      <c r="Q503" s="4" t="n">
        <f aca="false">Q502+P503</f>
        <v>16744.6016312</v>
      </c>
      <c r="R503" s="4" t="n">
        <f aca="false">O503+Q503</f>
        <v>2472.1207376</v>
      </c>
    </row>
    <row r="504" customFormat="false" ht="15" hidden="false" customHeight="false" outlineLevel="0" collapsed="false">
      <c r="A504" s="2" t="s">
        <v>53</v>
      </c>
      <c r="B504" s="2" t="s">
        <v>39</v>
      </c>
      <c r="C504" s="12" t="n">
        <v>8</v>
      </c>
      <c r="D504" s="12" t="n">
        <v>2031</v>
      </c>
      <c r="E504" s="4" t="n">
        <f aca="false">INDEX(驱动复算!A9:X9,1,情景参数!B15)</f>
        <v>11840.7548</v>
      </c>
      <c r="F504" s="4" t="n">
        <f aca="false">E504*(1-情景参数!D15)</f>
        <v>11248.71706</v>
      </c>
      <c r="G504" s="4" t="n">
        <f aca="false">IF(情景参数!E15="原表",驱动复算!U9-驱动复算!W9,驱动复算!P9)</f>
        <v>8037.007085</v>
      </c>
      <c r="H504" s="4" t="n">
        <f aca="false">IF(情景参数!E15="原表",驱动复算!W9,F504*情景参数!C15)</f>
        <v>224.9743412</v>
      </c>
      <c r="I504" s="4" t="n">
        <f aca="false">IF(情景参数!E15="原表",驱动复算!U9,G504+H504)</f>
        <v>8261.9814262</v>
      </c>
      <c r="J504" s="4" t="n">
        <f aca="false">(F504-I504)*(1-情景参数!F15)</f>
        <v>2986.7356338</v>
      </c>
      <c r="K504" s="4" t="n">
        <f aca="false">偿债原表!C10</f>
        <v>0</v>
      </c>
      <c r="L504" s="4" t="n">
        <f aca="false">偿债原表!D10</f>
        <v>730.2</v>
      </c>
      <c r="M504" s="4" t="n">
        <f aca="false">K504+L504</f>
        <v>730.2</v>
      </c>
      <c r="N504" s="4" t="n">
        <f aca="false">J504-M504</f>
        <v>2256.5356338</v>
      </c>
      <c r="O504" s="4" t="n">
        <f aca="false">O503+N504</f>
        <v>-12015.9452598</v>
      </c>
      <c r="P504" s="4" t="n">
        <f aca="false">MAX(0,-(R503+N504))</f>
        <v>0</v>
      </c>
      <c r="Q504" s="4" t="n">
        <f aca="false">Q503+P504</f>
        <v>16744.6016312</v>
      </c>
      <c r="R504" s="4" t="n">
        <f aca="false">O504+Q504</f>
        <v>4728.6563714</v>
      </c>
    </row>
    <row r="505" customFormat="false" ht="15" hidden="false" customHeight="false" outlineLevel="0" collapsed="false">
      <c r="A505" s="2" t="s">
        <v>53</v>
      </c>
      <c r="B505" s="2" t="s">
        <v>39</v>
      </c>
      <c r="C505" s="12" t="n">
        <v>9</v>
      </c>
      <c r="D505" s="12" t="n">
        <v>2032</v>
      </c>
      <c r="E505" s="4" t="n">
        <f aca="false">INDEX(驱动复算!A10:X10,1,情景参数!B15)</f>
        <v>12952.1398</v>
      </c>
      <c r="F505" s="4" t="n">
        <f aca="false">E505*(1-情景参数!D15)</f>
        <v>12304.53281</v>
      </c>
      <c r="G505" s="4" t="n">
        <f aca="false">IF(情景参数!E15="原表",驱动复算!U10-驱动复算!W10,驱动复算!P10)</f>
        <v>8278.11729755</v>
      </c>
      <c r="H505" s="4" t="n">
        <f aca="false">IF(情景参数!E15="原表",驱动复算!W10,F505*情景参数!C15)</f>
        <v>246.0906562</v>
      </c>
      <c r="I505" s="4" t="n">
        <f aca="false">IF(情景参数!E15="原表",驱动复算!U10,G505+H505)</f>
        <v>8524.20795375</v>
      </c>
      <c r="J505" s="4" t="n">
        <f aca="false">(F505-I505)*(1-情景参数!F15)</f>
        <v>3780.32485625</v>
      </c>
      <c r="K505" s="4" t="n">
        <f aca="false">偿债原表!C11</f>
        <v>2000</v>
      </c>
      <c r="L505" s="4" t="n">
        <f aca="false">偿债原表!D11</f>
        <v>730.2</v>
      </c>
      <c r="M505" s="4" t="n">
        <f aca="false">K505+L505</f>
        <v>2730.2</v>
      </c>
      <c r="N505" s="4" t="n">
        <f aca="false">J505-M505</f>
        <v>1050.12485625</v>
      </c>
      <c r="O505" s="4" t="n">
        <f aca="false">O504+N505</f>
        <v>-10965.82040355</v>
      </c>
      <c r="P505" s="4" t="n">
        <f aca="false">MAX(0,-(R504+N505))</f>
        <v>0</v>
      </c>
      <c r="Q505" s="4" t="n">
        <f aca="false">Q504+P505</f>
        <v>16744.6016312</v>
      </c>
      <c r="R505" s="4" t="n">
        <f aca="false">O505+Q505</f>
        <v>5778.78122765</v>
      </c>
    </row>
    <row r="506" customFormat="false" ht="15" hidden="false" customHeight="false" outlineLevel="0" collapsed="false">
      <c r="A506" s="2" t="s">
        <v>53</v>
      </c>
      <c r="B506" s="2" t="s">
        <v>39</v>
      </c>
      <c r="C506" s="12" t="n">
        <v>10</v>
      </c>
      <c r="D506" s="12" t="n">
        <v>2033</v>
      </c>
      <c r="E506" s="4" t="n">
        <f aca="false">INDEX(驱动复算!A11:X11,1,情景参数!B15)</f>
        <v>13687.09275</v>
      </c>
      <c r="F506" s="4" t="n">
        <f aca="false">E506*(1-情景参数!D15)</f>
        <v>13002.7381125</v>
      </c>
      <c r="G506" s="4" t="n">
        <f aca="false">IF(情景参数!E15="原表",驱动复算!U11-驱动复算!W11,驱动复算!P11)</f>
        <v>8526.4608164765</v>
      </c>
      <c r="H506" s="4" t="n">
        <f aca="false">IF(情景参数!E15="原表",驱动复算!W11,F506*情景参数!C15)</f>
        <v>260.05476225</v>
      </c>
      <c r="I506" s="4" t="n">
        <f aca="false">IF(情景参数!E15="原表",驱动复算!U11,G506+H506)</f>
        <v>8786.5155787265</v>
      </c>
      <c r="J506" s="4" t="n">
        <f aca="false">(F506-I506)*(1-情景参数!F15)</f>
        <v>4216.2225337735</v>
      </c>
      <c r="K506" s="4" t="n">
        <f aca="false">偿债原表!C12</f>
        <v>0</v>
      </c>
      <c r="L506" s="4" t="n">
        <f aca="false">偿债原表!D12</f>
        <v>673.2</v>
      </c>
      <c r="M506" s="4" t="n">
        <f aca="false">K506+L506</f>
        <v>673.2</v>
      </c>
      <c r="N506" s="4" t="n">
        <f aca="false">J506-M506</f>
        <v>3543.0225337735</v>
      </c>
      <c r="O506" s="4" t="n">
        <f aca="false">O505+N506</f>
        <v>-7422.7978697765</v>
      </c>
      <c r="P506" s="4" t="n">
        <f aca="false">MAX(0,-(R505+N506))</f>
        <v>0</v>
      </c>
      <c r="Q506" s="4" t="n">
        <f aca="false">Q505+P506</f>
        <v>16744.6016312</v>
      </c>
      <c r="R506" s="4" t="n">
        <f aca="false">O506+Q506</f>
        <v>9321.80376142351</v>
      </c>
    </row>
    <row r="507" customFormat="false" ht="15" hidden="false" customHeight="false" outlineLevel="0" collapsed="false">
      <c r="A507" s="2" t="s">
        <v>53</v>
      </c>
      <c r="B507" s="2" t="s">
        <v>39</v>
      </c>
      <c r="C507" s="12" t="n">
        <v>11</v>
      </c>
      <c r="D507" s="12" t="n">
        <v>2034</v>
      </c>
      <c r="E507" s="4" t="n">
        <f aca="false">INDEX(驱动复算!A12:X12,1,情景参数!B15)</f>
        <v>14328.9175875</v>
      </c>
      <c r="F507" s="4" t="n">
        <f aca="false">E507*(1-情景参数!D15)</f>
        <v>13612.471708125</v>
      </c>
      <c r="G507" s="4" t="n">
        <f aca="false">IF(情景参数!E15="原表",驱动复算!U12-驱动复算!W12,驱动复算!P12)</f>
        <v>8782.2546409708</v>
      </c>
      <c r="H507" s="4" t="n">
        <f aca="false">IF(情景参数!E15="原表",驱动复算!W12,F507*情景参数!C15)</f>
        <v>272.2494341625</v>
      </c>
      <c r="I507" s="4" t="n">
        <f aca="false">IF(情景参数!E15="原表",驱动复算!U12,G507+H507)</f>
        <v>9054.5040751333</v>
      </c>
      <c r="J507" s="4" t="n">
        <f aca="false">(F507-I507)*(1-情景参数!F15)</f>
        <v>4557.96763299171</v>
      </c>
      <c r="K507" s="4" t="n">
        <f aca="false">偿债原表!C13</f>
        <v>0</v>
      </c>
      <c r="L507" s="4" t="n">
        <f aca="false">偿债原表!D13</f>
        <v>673.2</v>
      </c>
      <c r="M507" s="4" t="n">
        <f aca="false">K507+L507</f>
        <v>673.2</v>
      </c>
      <c r="N507" s="4" t="n">
        <f aca="false">J507-M507</f>
        <v>3884.76763299171</v>
      </c>
      <c r="O507" s="4" t="n">
        <f aca="false">O506+N507</f>
        <v>-3538.03023678479</v>
      </c>
      <c r="P507" s="4" t="n">
        <f aca="false">MAX(0,-(R506+N507))</f>
        <v>0</v>
      </c>
      <c r="Q507" s="4" t="n">
        <f aca="false">Q506+P507</f>
        <v>16744.6016312</v>
      </c>
      <c r="R507" s="4" t="n">
        <f aca="false">O507+Q507</f>
        <v>13206.5713944152</v>
      </c>
    </row>
    <row r="508" customFormat="false" ht="15" hidden="false" customHeight="false" outlineLevel="0" collapsed="false">
      <c r="A508" s="2" t="s">
        <v>53</v>
      </c>
      <c r="B508" s="2" t="s">
        <v>39</v>
      </c>
      <c r="C508" s="12" t="n">
        <v>12</v>
      </c>
      <c r="D508" s="12" t="n">
        <v>2035</v>
      </c>
      <c r="E508" s="4" t="n">
        <f aca="false">INDEX(驱动复算!A13:X13,1,情景参数!B15)</f>
        <v>15002.833666875</v>
      </c>
      <c r="F508" s="4" t="n">
        <f aca="false">E508*(1-情景参数!D15)</f>
        <v>14252.6919835313</v>
      </c>
      <c r="G508" s="4" t="n">
        <f aca="false">IF(情景参数!E15="原表",驱动复算!U13-驱动复算!W13,驱动复算!P13)</f>
        <v>9045.72228019992</v>
      </c>
      <c r="H508" s="4" t="n">
        <f aca="false">IF(情景参数!E15="原表",驱动复算!W13,F508*情景参数!C15)</f>
        <v>285.053839670625</v>
      </c>
      <c r="I508" s="4" t="n">
        <f aca="false">IF(情景参数!E15="原表",驱动复算!U13,G508+H508)</f>
        <v>9330.77611987055</v>
      </c>
      <c r="J508" s="4" t="n">
        <f aca="false">(F508-I508)*(1-情景参数!F15)</f>
        <v>4921.91586366071</v>
      </c>
      <c r="K508" s="4" t="n">
        <f aca="false">偿债原表!C14</f>
        <v>0</v>
      </c>
      <c r="L508" s="4" t="n">
        <f aca="false">偿债原表!D14</f>
        <v>673.2</v>
      </c>
      <c r="M508" s="4" t="n">
        <f aca="false">K508+L508</f>
        <v>673.2</v>
      </c>
      <c r="N508" s="4" t="n">
        <f aca="false">J508-M508</f>
        <v>4248.71586366071</v>
      </c>
      <c r="O508" s="4" t="n">
        <f aca="false">O507+N508</f>
        <v>710.685626875923</v>
      </c>
      <c r="P508" s="4" t="n">
        <f aca="false">MAX(0,-(R507+N508))</f>
        <v>0</v>
      </c>
      <c r="Q508" s="4" t="n">
        <f aca="false">Q507+P508</f>
        <v>16744.6016312</v>
      </c>
      <c r="R508" s="4" t="n">
        <f aca="false">O508+Q508</f>
        <v>17455.2872580759</v>
      </c>
    </row>
    <row r="509" customFormat="false" ht="15" hidden="false" customHeight="false" outlineLevel="0" collapsed="false">
      <c r="A509" s="2" t="s">
        <v>53</v>
      </c>
      <c r="B509" s="2" t="s">
        <v>39</v>
      </c>
      <c r="C509" s="12" t="n">
        <v>13</v>
      </c>
      <c r="D509" s="12" t="n">
        <v>2036</v>
      </c>
      <c r="E509" s="4" t="n">
        <f aca="false">INDEX(驱动复算!A14:X14,1,情景参数!B15)</f>
        <v>15710.4455502188</v>
      </c>
      <c r="F509" s="4" t="n">
        <f aca="false">E509*(1-情景参数!D15)</f>
        <v>14924.9232727078</v>
      </c>
      <c r="G509" s="4" t="n">
        <f aca="false">IF(情景参数!E15="原表",驱动复算!U14-驱动复算!W14,驱动复算!P14)</f>
        <v>9317.09394860592</v>
      </c>
      <c r="H509" s="4" t="n">
        <f aca="false">IF(情景参数!E15="原表",驱动复算!W14,F509*情景参数!C15)</f>
        <v>298.498465454156</v>
      </c>
      <c r="I509" s="4" t="n">
        <f aca="false">IF(情景参数!E15="原表",驱动复算!U14,G509+H509)</f>
        <v>9615.59241406008</v>
      </c>
      <c r="J509" s="4" t="n">
        <f aca="false">(F509-I509)*(1-情景参数!F15)</f>
        <v>5309.33085864775</v>
      </c>
      <c r="K509" s="4" t="n">
        <f aca="false">偿债原表!C15</f>
        <v>0</v>
      </c>
      <c r="L509" s="4" t="n">
        <f aca="false">偿债原表!D15</f>
        <v>673.2</v>
      </c>
      <c r="M509" s="4" t="n">
        <f aca="false">K509+L509</f>
        <v>673.2</v>
      </c>
      <c r="N509" s="4" t="n">
        <f aca="false">J509-M509</f>
        <v>4636.13085864775</v>
      </c>
      <c r="O509" s="4" t="n">
        <f aca="false">O508+N509</f>
        <v>5346.81648552367</v>
      </c>
      <c r="P509" s="4" t="n">
        <f aca="false">MAX(0,-(R508+N509))</f>
        <v>0</v>
      </c>
      <c r="Q509" s="4" t="n">
        <f aca="false">Q508+P509</f>
        <v>16744.6016312</v>
      </c>
      <c r="R509" s="4" t="n">
        <f aca="false">O509+Q509</f>
        <v>22091.4181167237</v>
      </c>
    </row>
    <row r="510" customFormat="false" ht="15" hidden="false" customHeight="false" outlineLevel="0" collapsed="false">
      <c r="A510" s="2" t="s">
        <v>53</v>
      </c>
      <c r="B510" s="2" t="s">
        <v>39</v>
      </c>
      <c r="C510" s="12" t="n">
        <v>14</v>
      </c>
      <c r="D510" s="12" t="n">
        <v>2037</v>
      </c>
      <c r="E510" s="4" t="n">
        <f aca="false">INDEX(驱动复算!A15:X15,1,情景参数!B15)</f>
        <v>16453.4380277297</v>
      </c>
      <c r="F510" s="4" t="n">
        <f aca="false">E510*(1-情景参数!D15)</f>
        <v>15630.7661263432</v>
      </c>
      <c r="G510" s="4" t="n">
        <f aca="false">IF(情景参数!E15="原表",驱动复算!U15-驱动复算!W15,驱动复算!P15)</f>
        <v>9596.6067670641</v>
      </c>
      <c r="H510" s="4" t="n">
        <f aca="false">IF(情景参数!E15="原表",驱动复算!W15,F510*情景参数!C15)</f>
        <v>312.615322526864</v>
      </c>
      <c r="I510" s="4" t="n">
        <f aca="false">IF(情景参数!E15="原表",驱动复算!U15,G510+H510)</f>
        <v>9909.22208959096</v>
      </c>
      <c r="J510" s="4" t="n">
        <f aca="false">(F510-I510)*(1-情景参数!F15)</f>
        <v>5721.54403675225</v>
      </c>
      <c r="K510" s="4" t="n">
        <f aca="false">偿债原表!C16</f>
        <v>1000</v>
      </c>
      <c r="L510" s="4" t="n">
        <f aca="false">偿债原表!D16</f>
        <v>673.2</v>
      </c>
      <c r="M510" s="4" t="n">
        <f aca="false">K510+L510</f>
        <v>1673.2</v>
      </c>
      <c r="N510" s="4" t="n">
        <f aca="false">J510-M510</f>
        <v>4048.34403675225</v>
      </c>
      <c r="O510" s="4" t="n">
        <f aca="false">O509+N510</f>
        <v>9395.16052227592</v>
      </c>
      <c r="P510" s="4" t="n">
        <f aca="false">MAX(0,-(R509+N510))</f>
        <v>0</v>
      </c>
      <c r="Q510" s="4" t="n">
        <f aca="false">Q509+P510</f>
        <v>16744.6016312</v>
      </c>
      <c r="R510" s="4" t="n">
        <f aca="false">O510+Q510</f>
        <v>26139.7621534759</v>
      </c>
    </row>
    <row r="511" customFormat="false" ht="15" hidden="false" customHeight="false" outlineLevel="0" collapsed="false">
      <c r="A511" s="2" t="s">
        <v>53</v>
      </c>
      <c r="B511" s="2" t="s">
        <v>39</v>
      </c>
      <c r="C511" s="12" t="n">
        <v>15</v>
      </c>
      <c r="D511" s="12" t="n">
        <v>2038</v>
      </c>
      <c r="E511" s="4" t="n">
        <f aca="false">INDEX(驱动复算!A16:X16,1,情景参数!B15)</f>
        <v>16792.3004682843</v>
      </c>
      <c r="F511" s="4" t="n">
        <f aca="false">E511*(1-情景参数!D15)</f>
        <v>15952.6854448701</v>
      </c>
      <c r="G511" s="4" t="n">
        <f aca="false">IF(情景参数!E15="原表",驱动复算!U16-驱动复算!W16,驱动复算!P16)</f>
        <v>9884.50497007602</v>
      </c>
      <c r="H511" s="4" t="n">
        <f aca="false">IF(情景参数!E15="原表",驱动复算!W16,F511*情景参数!C15)</f>
        <v>319.053708897402</v>
      </c>
      <c r="I511" s="4" t="n">
        <f aca="false">IF(情景参数!E15="原表",驱动复算!U16,G511+H511)</f>
        <v>10203.5586789734</v>
      </c>
      <c r="J511" s="4" t="n">
        <f aca="false">(F511-I511)*(1-情景参数!F15)</f>
        <v>5749.12676589666</v>
      </c>
      <c r="K511" s="4" t="n">
        <f aca="false">偿债原表!C17</f>
        <v>0</v>
      </c>
      <c r="L511" s="4" t="n">
        <f aca="false">偿债原表!D17</f>
        <v>644</v>
      </c>
      <c r="M511" s="4" t="n">
        <f aca="false">K511+L511</f>
        <v>644</v>
      </c>
      <c r="N511" s="4" t="n">
        <f aca="false">J511-M511</f>
        <v>5105.12676589666</v>
      </c>
      <c r="O511" s="4" t="n">
        <f aca="false">O510+N511</f>
        <v>14500.2872881726</v>
      </c>
      <c r="P511" s="4" t="n">
        <f aca="false">MAX(0,-(R510+N511))</f>
        <v>0</v>
      </c>
      <c r="Q511" s="4" t="n">
        <f aca="false">Q510+P511</f>
        <v>16744.6016312</v>
      </c>
      <c r="R511" s="4" t="n">
        <f aca="false">O511+Q511</f>
        <v>31244.8889193726</v>
      </c>
    </row>
    <row r="512" customFormat="false" ht="15" hidden="false" customHeight="false" outlineLevel="0" collapsed="false">
      <c r="A512" s="2" t="s">
        <v>53</v>
      </c>
      <c r="B512" s="2" t="s">
        <v>39</v>
      </c>
      <c r="C512" s="12" t="n">
        <v>16</v>
      </c>
      <c r="D512" s="12" t="n">
        <v>2039</v>
      </c>
      <c r="E512" s="4" t="n">
        <f aca="false">INDEX(驱动复算!A17:X17,1,情景参数!B15)</f>
        <v>17110.59844565</v>
      </c>
      <c r="F512" s="4" t="n">
        <f aca="false">E512*(1-情景参数!D15)</f>
        <v>16255.0685233675</v>
      </c>
      <c r="G512" s="4" t="n">
        <f aca="false">IF(情景参数!E15="原表",驱动复算!U17-驱动复算!W17,驱动复算!P17)</f>
        <v>10181.0401191783</v>
      </c>
      <c r="H512" s="4" t="n">
        <f aca="false">IF(情景参数!E15="原表",驱动复算!W17,F512*情景参数!C15)</f>
        <v>325.10137046735</v>
      </c>
      <c r="I512" s="4" t="n">
        <f aca="false">IF(情景参数!E15="原表",驱动复算!U17,G512+H512)</f>
        <v>10506.1414896457</v>
      </c>
      <c r="J512" s="4" t="n">
        <f aca="false">(F512-I512)*(1-情景参数!F15)</f>
        <v>5748.92703372183</v>
      </c>
      <c r="K512" s="4" t="n">
        <f aca="false">偿债原表!C18</f>
        <v>0</v>
      </c>
      <c r="L512" s="4" t="n">
        <f aca="false">偿债原表!D18</f>
        <v>644</v>
      </c>
      <c r="M512" s="4" t="n">
        <f aca="false">K512+L512</f>
        <v>644</v>
      </c>
      <c r="N512" s="4" t="n">
        <f aca="false">J512-M512</f>
        <v>5104.92703372183</v>
      </c>
      <c r="O512" s="4" t="n">
        <f aca="false">O511+N512</f>
        <v>19605.2143218944</v>
      </c>
      <c r="P512" s="4" t="n">
        <f aca="false">MAX(0,-(R511+N512))</f>
        <v>0</v>
      </c>
      <c r="Q512" s="4" t="n">
        <f aca="false">Q511+P512</f>
        <v>16744.6016312</v>
      </c>
      <c r="R512" s="4" t="n">
        <f aca="false">O512+Q512</f>
        <v>36349.8159530944</v>
      </c>
    </row>
    <row r="513" customFormat="false" ht="15" hidden="false" customHeight="false" outlineLevel="0" collapsed="false">
      <c r="A513" s="2" t="s">
        <v>53</v>
      </c>
      <c r="B513" s="2" t="s">
        <v>39</v>
      </c>
      <c r="C513" s="12" t="n">
        <v>17</v>
      </c>
      <c r="D513" s="12" t="n">
        <v>2040</v>
      </c>
      <c r="E513" s="4" t="n">
        <f aca="false">INDEX(驱动复算!A18:X18,1,情景参数!B15)</f>
        <v>17435.262382563</v>
      </c>
      <c r="F513" s="4" t="n">
        <f aca="false">E513*(1-情景参数!D15)</f>
        <v>16563.4992634348</v>
      </c>
      <c r="G513" s="4" t="n">
        <f aca="false">IF(情景参数!E15="原表",驱动复算!U18-驱动复算!W18,驱动复算!P18)</f>
        <v>10486.4713227536</v>
      </c>
      <c r="H513" s="4" t="n">
        <f aca="false">IF(情景参数!E15="原表",驱动复算!W18,F513*情景参数!C15)</f>
        <v>331.269985268697</v>
      </c>
      <c r="I513" s="4" t="n">
        <f aca="false">IF(情景参数!E15="原表",驱动复算!U18,G513+H513)</f>
        <v>10817.7413080223</v>
      </c>
      <c r="J513" s="4" t="n">
        <f aca="false">(F513-I513)*(1-情景参数!F15)</f>
        <v>5745.75795541249</v>
      </c>
      <c r="K513" s="4" t="n">
        <f aca="false">偿债原表!C19</f>
        <v>0</v>
      </c>
      <c r="L513" s="4" t="n">
        <f aca="false">偿债原表!D19</f>
        <v>644</v>
      </c>
      <c r="M513" s="4" t="n">
        <f aca="false">K513+L513</f>
        <v>644</v>
      </c>
      <c r="N513" s="4" t="n">
        <f aca="false">J513-M513</f>
        <v>5101.75795541249</v>
      </c>
      <c r="O513" s="4" t="n">
        <f aca="false">O512+N513</f>
        <v>24706.9722773069</v>
      </c>
      <c r="P513" s="4" t="n">
        <f aca="false">MAX(0,-(R512+N513))</f>
        <v>0</v>
      </c>
      <c r="Q513" s="4" t="n">
        <f aca="false">Q512+P513</f>
        <v>16744.6016312</v>
      </c>
      <c r="R513" s="4" t="n">
        <f aca="false">O513+Q513</f>
        <v>41451.5739085069</v>
      </c>
    </row>
    <row r="514" customFormat="false" ht="15" hidden="false" customHeight="false" outlineLevel="0" collapsed="false">
      <c r="A514" s="2" t="s">
        <v>53</v>
      </c>
      <c r="B514" s="2" t="s">
        <v>39</v>
      </c>
      <c r="C514" s="12" t="n">
        <v>18</v>
      </c>
      <c r="D514" s="12" t="n">
        <v>2041</v>
      </c>
      <c r="E514" s="4" t="n">
        <f aca="false">INDEX(驱动复算!A19:X19,1,情景参数!B15)</f>
        <v>17766.4195982142</v>
      </c>
      <c r="F514" s="4" t="n">
        <f aca="false">E514*(1-情景参数!D15)</f>
        <v>16878.0986183035</v>
      </c>
      <c r="G514" s="4" t="n">
        <f aca="false">IF(情景参数!E15="原表",驱动复算!U19-驱动复算!W19,驱动复算!P19)</f>
        <v>10801.0654624363</v>
      </c>
      <c r="H514" s="4" t="n">
        <f aca="false">IF(情景参数!E15="原表",驱动复算!W19,F514*情景参数!C15)</f>
        <v>337.561972366071</v>
      </c>
      <c r="I514" s="4" t="n">
        <f aca="false">IF(情景参数!E15="原表",驱动复算!U19,G514+H514)</f>
        <v>11138.6274348023</v>
      </c>
      <c r="J514" s="4" t="n">
        <f aca="false">(F514-I514)*(1-情景参数!F15)</f>
        <v>5739.47118350119</v>
      </c>
      <c r="K514" s="4" t="n">
        <f aca="false">偿债原表!C20</f>
        <v>20000</v>
      </c>
      <c r="L514" s="4" t="n">
        <f aca="false">偿债原表!D20</f>
        <v>644</v>
      </c>
      <c r="M514" s="4" t="n">
        <f aca="false">K514+L514</f>
        <v>20644</v>
      </c>
      <c r="N514" s="4" t="n">
        <f aca="false">J514-M514</f>
        <v>-14904.5288164988</v>
      </c>
      <c r="O514" s="4" t="n">
        <f aca="false">O513+N514</f>
        <v>9802.44346080808</v>
      </c>
      <c r="P514" s="4" t="n">
        <f aca="false">MAX(0,-(R513+N514))</f>
        <v>0</v>
      </c>
      <c r="Q514" s="4" t="n">
        <f aca="false">Q513+P514</f>
        <v>16744.6016312</v>
      </c>
      <c r="R514" s="4" t="n">
        <f aca="false">O514+Q514</f>
        <v>26547.0450920081</v>
      </c>
    </row>
    <row r="515" customFormat="false" ht="15" hidden="false" customHeight="false" outlineLevel="0" collapsed="false">
      <c r="A515" s="2" t="s">
        <v>53</v>
      </c>
      <c r="B515" s="2" t="s">
        <v>40</v>
      </c>
      <c r="C515" s="12" t="n">
        <v>0</v>
      </c>
      <c r="D515" s="13" t="s">
        <v>248</v>
      </c>
      <c r="E515" s="4" t="n">
        <f aca="false">0</f>
        <v>0</v>
      </c>
      <c r="F515" s="4" t="n">
        <f aca="false">E515*(1-情景参数!D15)</f>
        <v>0</v>
      </c>
      <c r="G515" s="4" t="n">
        <f aca="false">0</f>
        <v>0</v>
      </c>
      <c r="H515" s="4" t="n">
        <f aca="false">0</f>
        <v>0</v>
      </c>
      <c r="I515" s="4" t="n">
        <f aca="false">0</f>
        <v>0</v>
      </c>
      <c r="J515" s="4" t="n">
        <f aca="false">(F515-I515)*(1-情景参数!F15)</f>
        <v>0</v>
      </c>
      <c r="K515" s="4" t="n">
        <f aca="false">偿债原表!F2</f>
        <v>0</v>
      </c>
      <c r="L515" s="4" t="n">
        <f aca="false">偿债原表!G2</f>
        <v>1374.2</v>
      </c>
      <c r="M515" s="4" t="n">
        <f aca="false">K515+L515</f>
        <v>1374.2</v>
      </c>
      <c r="N515" s="4" t="n">
        <f aca="false">J515-M515</f>
        <v>-1374.2</v>
      </c>
      <c r="O515" s="4" t="n">
        <f aca="false">N515</f>
        <v>-1374.2</v>
      </c>
      <c r="P515" s="4" t="n">
        <f aca="false">MAX(0,-N515)</f>
        <v>1374.2</v>
      </c>
      <c r="Q515" s="4" t="n">
        <f aca="false">P515</f>
        <v>1374.2</v>
      </c>
      <c r="R515" s="4" t="n">
        <f aca="false">O515+Q515</f>
        <v>0</v>
      </c>
    </row>
    <row r="516" customFormat="false" ht="15" hidden="false" customHeight="false" outlineLevel="0" collapsed="false">
      <c r="A516" s="2" t="s">
        <v>53</v>
      </c>
      <c r="B516" s="2" t="s">
        <v>40</v>
      </c>
      <c r="C516" s="12" t="n">
        <v>1</v>
      </c>
      <c r="D516" s="12" t="n">
        <v>2024</v>
      </c>
      <c r="E516" s="4" t="n">
        <f aca="false">INDEX(驱动复算!A2:X2,1,情景参数!B15)</f>
        <v>0</v>
      </c>
      <c r="F516" s="4" t="n">
        <f aca="false">E516*(1-情景参数!D15)</f>
        <v>0</v>
      </c>
      <c r="G516" s="4" t="n">
        <f aca="false">IF(情景参数!E15="原表",驱动复算!U2-驱动复算!W2,驱动复算!P2)</f>
        <v>0</v>
      </c>
      <c r="H516" s="4" t="n">
        <f aca="false">IF(情景参数!E15="原表",驱动复算!W2,F516*情景参数!C15)</f>
        <v>0</v>
      </c>
      <c r="I516" s="4" t="n">
        <f aca="false">IF(情景参数!E15="原表",驱动复算!U2,G516+H516)</f>
        <v>0</v>
      </c>
      <c r="J516" s="4" t="n">
        <f aca="false">(F516-I516)*(1-情景参数!F15)</f>
        <v>0</v>
      </c>
      <c r="K516" s="4" t="n">
        <f aca="false">偿债原表!F3</f>
        <v>0</v>
      </c>
      <c r="L516" s="4" t="n">
        <f aca="false">偿债原表!G3</f>
        <v>1107.58</v>
      </c>
      <c r="M516" s="4" t="n">
        <f aca="false">K516+L516</f>
        <v>1107.58</v>
      </c>
      <c r="N516" s="4" t="n">
        <f aca="false">J516-M516</f>
        <v>-1107.58</v>
      </c>
      <c r="O516" s="4" t="n">
        <f aca="false">O515+N516</f>
        <v>-2481.78</v>
      </c>
      <c r="P516" s="4" t="n">
        <f aca="false">MAX(0,-(R515+N516))</f>
        <v>1107.58</v>
      </c>
      <c r="Q516" s="4" t="n">
        <f aca="false">Q515+P516</f>
        <v>2481.78</v>
      </c>
      <c r="R516" s="4" t="n">
        <f aca="false">O516+Q516</f>
        <v>0</v>
      </c>
    </row>
    <row r="517" customFormat="false" ht="15" hidden="false" customHeight="false" outlineLevel="0" collapsed="false">
      <c r="A517" s="2" t="s">
        <v>53</v>
      </c>
      <c r="B517" s="2" t="s">
        <v>40</v>
      </c>
      <c r="C517" s="12" t="n">
        <v>2</v>
      </c>
      <c r="D517" s="12" t="n">
        <v>2025</v>
      </c>
      <c r="E517" s="4" t="n">
        <f aca="false">INDEX(驱动复算!A3:X3,1,情景参数!B15)</f>
        <v>0</v>
      </c>
      <c r="F517" s="4" t="n">
        <f aca="false">E517*(1-情景参数!D15)</f>
        <v>0</v>
      </c>
      <c r="G517" s="4" t="n">
        <f aca="false">IF(情景参数!E15="原表",驱动复算!U3-驱动复算!W3,驱动复算!P3)</f>
        <v>0</v>
      </c>
      <c r="H517" s="4" t="n">
        <f aca="false">IF(情景参数!E15="原表",驱动复算!W3,F517*情景参数!C15)</f>
        <v>0</v>
      </c>
      <c r="I517" s="4" t="n">
        <f aca="false">IF(情景参数!E15="原表",驱动复算!U3,G517+H517)</f>
        <v>0</v>
      </c>
      <c r="J517" s="4" t="n">
        <f aca="false">(F517-I517)*(1-情景参数!F15)</f>
        <v>0</v>
      </c>
      <c r="K517" s="4" t="n">
        <f aca="false">偿债原表!F4</f>
        <v>0</v>
      </c>
      <c r="L517" s="4" t="n">
        <f aca="false">偿债原表!G4</f>
        <v>1107.58</v>
      </c>
      <c r="M517" s="4" t="n">
        <f aca="false">K517+L517</f>
        <v>1107.58</v>
      </c>
      <c r="N517" s="4" t="n">
        <f aca="false">J517-M517</f>
        <v>-1107.58</v>
      </c>
      <c r="O517" s="4" t="n">
        <f aca="false">O516+N517</f>
        <v>-3589.36</v>
      </c>
      <c r="P517" s="4" t="n">
        <f aca="false">MAX(0,-(R516+N517))</f>
        <v>1107.58</v>
      </c>
      <c r="Q517" s="4" t="n">
        <f aca="false">Q516+P517</f>
        <v>3589.36</v>
      </c>
      <c r="R517" s="4" t="n">
        <f aca="false">O517+Q517</f>
        <v>0</v>
      </c>
    </row>
    <row r="518" customFormat="false" ht="15" hidden="false" customHeight="false" outlineLevel="0" collapsed="false">
      <c r="A518" s="2" t="s">
        <v>53</v>
      </c>
      <c r="B518" s="2" t="s">
        <v>40</v>
      </c>
      <c r="C518" s="12" t="n">
        <v>3</v>
      </c>
      <c r="D518" s="12" t="n">
        <v>2026</v>
      </c>
      <c r="E518" s="4" t="n">
        <f aca="false">INDEX(驱动复算!A4:X4,1,情景参数!B15)</f>
        <v>0</v>
      </c>
      <c r="F518" s="4" t="n">
        <f aca="false">E518*(1-情景参数!D15)</f>
        <v>0</v>
      </c>
      <c r="G518" s="4" t="n">
        <f aca="false">IF(情景参数!E15="原表",驱动复算!U4-驱动复算!W4,驱动复算!P4)</f>
        <v>0</v>
      </c>
      <c r="H518" s="4" t="n">
        <f aca="false">IF(情景参数!E15="原表",驱动复算!W4,F518*情景参数!C15)</f>
        <v>0</v>
      </c>
      <c r="I518" s="4" t="n">
        <f aca="false">IF(情景参数!E15="原表",驱动复算!U4,G518+H518)</f>
        <v>0</v>
      </c>
      <c r="J518" s="4" t="n">
        <f aca="false">(F518-I518)*(1-情景参数!F15)</f>
        <v>0</v>
      </c>
      <c r="K518" s="4" t="n">
        <f aca="false">偿债原表!F5</f>
        <v>0</v>
      </c>
      <c r="L518" s="4" t="n">
        <f aca="false">偿债原表!G5</f>
        <v>1107.58</v>
      </c>
      <c r="M518" s="4" t="n">
        <f aca="false">K518+L518</f>
        <v>1107.58</v>
      </c>
      <c r="N518" s="4" t="n">
        <f aca="false">J518-M518</f>
        <v>-1107.58</v>
      </c>
      <c r="O518" s="4" t="n">
        <f aca="false">O517+N518</f>
        <v>-4696.94</v>
      </c>
      <c r="P518" s="4" t="n">
        <f aca="false">MAX(0,-(R517+N518))</f>
        <v>1107.58</v>
      </c>
      <c r="Q518" s="4" t="n">
        <f aca="false">Q517+P518</f>
        <v>4696.94</v>
      </c>
      <c r="R518" s="4" t="n">
        <f aca="false">O518+Q518</f>
        <v>0</v>
      </c>
    </row>
    <row r="519" customFormat="false" ht="15" hidden="false" customHeight="false" outlineLevel="0" collapsed="false">
      <c r="A519" s="2" t="s">
        <v>53</v>
      </c>
      <c r="B519" s="2" t="s">
        <v>40</v>
      </c>
      <c r="C519" s="12" t="n">
        <v>4</v>
      </c>
      <c r="D519" s="12" t="n">
        <v>2027</v>
      </c>
      <c r="E519" s="4" t="n">
        <f aca="false">INDEX(驱动复算!A5:X5,1,情景参数!B15)</f>
        <v>0</v>
      </c>
      <c r="F519" s="4" t="n">
        <f aca="false">E519*(1-情景参数!D15)</f>
        <v>0</v>
      </c>
      <c r="G519" s="4" t="n">
        <f aca="false">IF(情景参数!E15="原表",驱动复算!U5-驱动复算!W5,驱动复算!P5)</f>
        <v>0</v>
      </c>
      <c r="H519" s="4" t="n">
        <f aca="false">IF(情景参数!E15="原表",驱动复算!W5,F519*情景参数!C15)</f>
        <v>0</v>
      </c>
      <c r="I519" s="4" t="n">
        <f aca="false">IF(情景参数!E15="原表",驱动复算!U5,G519+H519)</f>
        <v>0</v>
      </c>
      <c r="J519" s="4" t="n">
        <f aca="false">(F519-I519)*(1-情景参数!F15)</f>
        <v>0</v>
      </c>
      <c r="K519" s="4" t="n">
        <f aca="false">偿债原表!F6</f>
        <v>0</v>
      </c>
      <c r="L519" s="4" t="n">
        <f aca="false">偿债原表!G6</f>
        <v>1107.58</v>
      </c>
      <c r="M519" s="4" t="n">
        <f aca="false">K519+L519</f>
        <v>1107.58</v>
      </c>
      <c r="N519" s="4" t="n">
        <f aca="false">J519-M519</f>
        <v>-1107.58</v>
      </c>
      <c r="O519" s="4" t="n">
        <f aca="false">O518+N519</f>
        <v>-5804.52</v>
      </c>
      <c r="P519" s="4" t="n">
        <f aca="false">MAX(0,-(R518+N519))</f>
        <v>1107.58</v>
      </c>
      <c r="Q519" s="4" t="n">
        <f aca="false">Q518+P519</f>
        <v>5804.52</v>
      </c>
      <c r="R519" s="4" t="n">
        <f aca="false">O519+Q519</f>
        <v>0</v>
      </c>
    </row>
    <row r="520" customFormat="false" ht="15" hidden="false" customHeight="false" outlineLevel="0" collapsed="false">
      <c r="A520" s="2" t="s">
        <v>53</v>
      </c>
      <c r="B520" s="2" t="s">
        <v>40</v>
      </c>
      <c r="C520" s="12" t="n">
        <v>5</v>
      </c>
      <c r="D520" s="12" t="n">
        <v>2028</v>
      </c>
      <c r="E520" s="4" t="n">
        <f aca="false">INDEX(驱动复算!A6:X6,1,情景参数!B15)</f>
        <v>9076.9048</v>
      </c>
      <c r="F520" s="4" t="n">
        <f aca="false">E520*(1-情景参数!D15)</f>
        <v>8623.05956</v>
      </c>
      <c r="G520" s="4" t="n">
        <f aca="false">IF(情景参数!E15="原表",驱动复算!U6-驱动复算!W6,驱动复算!P6)</f>
        <v>7355</v>
      </c>
      <c r="H520" s="4" t="n">
        <f aca="false">IF(情景参数!E15="原表",驱动复算!W6,F520*情景参数!C15)</f>
        <v>172.4611912</v>
      </c>
      <c r="I520" s="4" t="n">
        <f aca="false">IF(情景参数!E15="原表",驱动复算!U6,G520+H520)</f>
        <v>7527.4611912</v>
      </c>
      <c r="J520" s="4" t="n">
        <f aca="false">(F520-I520)*(1-情景参数!F15)</f>
        <v>1095.5983688</v>
      </c>
      <c r="K520" s="4" t="n">
        <f aca="false">偿债原表!F7</f>
        <v>1400</v>
      </c>
      <c r="L520" s="4" t="n">
        <f aca="false">偿债原表!G7</f>
        <v>1107.58</v>
      </c>
      <c r="M520" s="4" t="n">
        <f aca="false">K520+L520</f>
        <v>2507.58</v>
      </c>
      <c r="N520" s="4" t="n">
        <f aca="false">J520-M520</f>
        <v>-1411.9816312</v>
      </c>
      <c r="O520" s="4" t="n">
        <f aca="false">O519+N520</f>
        <v>-7216.5016312</v>
      </c>
      <c r="P520" s="4" t="n">
        <f aca="false">MAX(0,-(R519+N520))</f>
        <v>1411.9816312</v>
      </c>
      <c r="Q520" s="4" t="n">
        <f aca="false">Q519+P520</f>
        <v>7216.5016312</v>
      </c>
      <c r="R520" s="4" t="n">
        <f aca="false">O520+Q520</f>
        <v>0</v>
      </c>
    </row>
    <row r="521" customFormat="false" ht="15" hidden="false" customHeight="false" outlineLevel="0" collapsed="false">
      <c r="A521" s="2" t="s">
        <v>53</v>
      </c>
      <c r="B521" s="2" t="s">
        <v>40</v>
      </c>
      <c r="C521" s="12" t="n">
        <v>6</v>
      </c>
      <c r="D521" s="12" t="n">
        <v>2029</v>
      </c>
      <c r="E521" s="4" t="n">
        <f aca="false">INDEX(驱动复算!A7:X7,1,情景参数!B15)</f>
        <v>9911.9048</v>
      </c>
      <c r="F521" s="4" t="n">
        <f aca="false">E521*(1-情景参数!D15)</f>
        <v>9416.30956</v>
      </c>
      <c r="G521" s="4" t="n">
        <f aca="false">IF(情景参数!E15="原表",驱动复算!U7-驱动复算!W7,驱动复算!P7)</f>
        <v>7575.65</v>
      </c>
      <c r="H521" s="4" t="n">
        <f aca="false">IF(情景参数!E15="原表",驱动复算!W7,F521*情景参数!C15)</f>
        <v>188.3261912</v>
      </c>
      <c r="I521" s="4" t="n">
        <f aca="false">IF(情景参数!E15="原表",驱动复算!U7,G521+H521)</f>
        <v>7763.9761912</v>
      </c>
      <c r="J521" s="4" t="n">
        <f aca="false">(F521-I521)*(1-情景参数!F15)</f>
        <v>1652.3333688</v>
      </c>
      <c r="K521" s="4" t="n">
        <f aca="false">偿债原表!F8</f>
        <v>0</v>
      </c>
      <c r="L521" s="4" t="n">
        <f aca="false">偿债原表!G8</f>
        <v>1075.8</v>
      </c>
      <c r="M521" s="4" t="n">
        <f aca="false">K521+L521</f>
        <v>1075.8</v>
      </c>
      <c r="N521" s="4" t="n">
        <f aca="false">J521-M521</f>
        <v>576.533368799998</v>
      </c>
      <c r="O521" s="4" t="n">
        <f aca="false">O520+N521</f>
        <v>-6639.9682624</v>
      </c>
      <c r="P521" s="4" t="n">
        <f aca="false">MAX(0,-(R520+N521))</f>
        <v>0</v>
      </c>
      <c r="Q521" s="4" t="n">
        <f aca="false">Q520+P521</f>
        <v>7216.5016312</v>
      </c>
      <c r="R521" s="4" t="n">
        <f aca="false">O521+Q521</f>
        <v>576.533368799997</v>
      </c>
    </row>
    <row r="522" customFormat="false" ht="15" hidden="false" customHeight="false" outlineLevel="0" collapsed="false">
      <c r="A522" s="2" t="s">
        <v>53</v>
      </c>
      <c r="B522" s="2" t="s">
        <v>40</v>
      </c>
      <c r="C522" s="12" t="n">
        <v>7</v>
      </c>
      <c r="D522" s="12" t="n">
        <v>2030</v>
      </c>
      <c r="E522" s="4" t="n">
        <f aca="false">INDEX(驱动复算!A8:X8,1,情景参数!B15)</f>
        <v>10830.4048</v>
      </c>
      <c r="F522" s="4" t="n">
        <f aca="false">E522*(1-情景参数!D15)</f>
        <v>10288.88456</v>
      </c>
      <c r="G522" s="4" t="n">
        <f aca="false">IF(情景参数!E15="原表",驱动复算!U8-驱动复算!W8,驱动复算!P8)</f>
        <v>7802.9195</v>
      </c>
      <c r="H522" s="4" t="n">
        <f aca="false">IF(情景参数!E15="原表",驱动复算!W8,F522*情景参数!C15)</f>
        <v>205.7776912</v>
      </c>
      <c r="I522" s="4" t="n">
        <f aca="false">IF(情景参数!E15="原表",驱动复算!U8,G522+H522)</f>
        <v>8008.6971912</v>
      </c>
      <c r="J522" s="4" t="n">
        <f aca="false">(F522-I522)*(1-情景参数!F15)</f>
        <v>2280.1873688</v>
      </c>
      <c r="K522" s="4" t="n">
        <f aca="false">偿债原表!F9</f>
        <v>0</v>
      </c>
      <c r="L522" s="4" t="n">
        <f aca="false">偿债原表!G9</f>
        <v>1075.8</v>
      </c>
      <c r="M522" s="4" t="n">
        <f aca="false">K522+L522</f>
        <v>1075.8</v>
      </c>
      <c r="N522" s="4" t="n">
        <f aca="false">J522-M522</f>
        <v>1204.3873688</v>
      </c>
      <c r="O522" s="4" t="n">
        <f aca="false">O521+N522</f>
        <v>-5435.5808936</v>
      </c>
      <c r="P522" s="4" t="n">
        <f aca="false">MAX(0,-(R521+N522))</f>
        <v>0</v>
      </c>
      <c r="Q522" s="4" t="n">
        <f aca="false">Q521+P522</f>
        <v>7216.5016312</v>
      </c>
      <c r="R522" s="4" t="n">
        <f aca="false">O522+Q522</f>
        <v>1780.9207376</v>
      </c>
    </row>
    <row r="523" customFormat="false" ht="15" hidden="false" customHeight="false" outlineLevel="0" collapsed="false">
      <c r="A523" s="2" t="s">
        <v>53</v>
      </c>
      <c r="B523" s="2" t="s">
        <v>40</v>
      </c>
      <c r="C523" s="12" t="n">
        <v>8</v>
      </c>
      <c r="D523" s="12" t="n">
        <v>2031</v>
      </c>
      <c r="E523" s="4" t="n">
        <f aca="false">INDEX(驱动复算!A9:X9,1,情景参数!B15)</f>
        <v>11840.7548</v>
      </c>
      <c r="F523" s="4" t="n">
        <f aca="false">E523*(1-情景参数!D15)</f>
        <v>11248.71706</v>
      </c>
      <c r="G523" s="4" t="n">
        <f aca="false">IF(情景参数!E15="原表",驱动复算!U9-驱动复算!W9,驱动复算!P9)</f>
        <v>8037.007085</v>
      </c>
      <c r="H523" s="4" t="n">
        <f aca="false">IF(情景参数!E15="原表",驱动复算!W9,F523*情景参数!C15)</f>
        <v>224.9743412</v>
      </c>
      <c r="I523" s="4" t="n">
        <f aca="false">IF(情景参数!E15="原表",驱动复算!U9,G523+H523)</f>
        <v>8261.9814262</v>
      </c>
      <c r="J523" s="4" t="n">
        <f aca="false">(F523-I523)*(1-情景参数!F15)</f>
        <v>2986.7356338</v>
      </c>
      <c r="K523" s="4" t="n">
        <f aca="false">偿债原表!F10</f>
        <v>0</v>
      </c>
      <c r="L523" s="4" t="n">
        <f aca="false">偿债原表!G10</f>
        <v>1075.8</v>
      </c>
      <c r="M523" s="4" t="n">
        <f aca="false">K523+L523</f>
        <v>1075.8</v>
      </c>
      <c r="N523" s="4" t="n">
        <f aca="false">J523-M523</f>
        <v>1910.9356338</v>
      </c>
      <c r="O523" s="4" t="n">
        <f aca="false">O522+N523</f>
        <v>-3524.6452598</v>
      </c>
      <c r="P523" s="4" t="n">
        <f aca="false">MAX(0,-(R522+N523))</f>
        <v>0</v>
      </c>
      <c r="Q523" s="4" t="n">
        <f aca="false">Q522+P523</f>
        <v>7216.5016312</v>
      </c>
      <c r="R523" s="4" t="n">
        <f aca="false">O523+Q523</f>
        <v>3691.8563714</v>
      </c>
    </row>
    <row r="524" customFormat="false" ht="15" hidden="false" customHeight="false" outlineLevel="0" collapsed="false">
      <c r="A524" s="2" t="s">
        <v>53</v>
      </c>
      <c r="B524" s="2" t="s">
        <v>40</v>
      </c>
      <c r="C524" s="12" t="n">
        <v>9</v>
      </c>
      <c r="D524" s="12" t="n">
        <v>2032</v>
      </c>
      <c r="E524" s="4" t="n">
        <f aca="false">INDEX(驱动复算!A10:X10,1,情景参数!B15)</f>
        <v>12952.1398</v>
      </c>
      <c r="F524" s="4" t="n">
        <f aca="false">E524*(1-情景参数!D15)</f>
        <v>12304.53281</v>
      </c>
      <c r="G524" s="4" t="n">
        <f aca="false">IF(情景参数!E15="原表",驱动复算!U10-驱动复算!W10,驱动复算!P10)</f>
        <v>8278.11729755</v>
      </c>
      <c r="H524" s="4" t="n">
        <f aca="false">IF(情景参数!E15="原表",驱动复算!W10,F524*情景参数!C15)</f>
        <v>246.0906562</v>
      </c>
      <c r="I524" s="4" t="n">
        <f aca="false">IF(情景参数!E15="原表",驱动复算!U10,G524+H524)</f>
        <v>8524.20795375</v>
      </c>
      <c r="J524" s="4" t="n">
        <f aca="false">(F524-I524)*(1-情景参数!F15)</f>
        <v>3780.32485625</v>
      </c>
      <c r="K524" s="4" t="n">
        <f aca="false">偿债原表!F11</f>
        <v>2000</v>
      </c>
      <c r="L524" s="4" t="n">
        <f aca="false">偿债原表!G11</f>
        <v>1075.8</v>
      </c>
      <c r="M524" s="4" t="n">
        <f aca="false">K524+L524</f>
        <v>3075.8</v>
      </c>
      <c r="N524" s="4" t="n">
        <f aca="false">J524-M524</f>
        <v>704.524856250001</v>
      </c>
      <c r="O524" s="4" t="n">
        <f aca="false">O523+N524</f>
        <v>-2820.12040355</v>
      </c>
      <c r="P524" s="4" t="n">
        <f aca="false">MAX(0,-(R523+N524))</f>
        <v>0</v>
      </c>
      <c r="Q524" s="4" t="n">
        <f aca="false">Q523+P524</f>
        <v>7216.5016312</v>
      </c>
      <c r="R524" s="4" t="n">
        <f aca="false">O524+Q524</f>
        <v>4396.38122765</v>
      </c>
    </row>
    <row r="525" customFormat="false" ht="15" hidden="false" customHeight="false" outlineLevel="0" collapsed="false">
      <c r="A525" s="2" t="s">
        <v>53</v>
      </c>
      <c r="B525" s="2" t="s">
        <v>40</v>
      </c>
      <c r="C525" s="12" t="n">
        <v>10</v>
      </c>
      <c r="D525" s="12" t="n">
        <v>2033</v>
      </c>
      <c r="E525" s="4" t="n">
        <f aca="false">INDEX(驱动复算!A11:X11,1,情景参数!B15)</f>
        <v>13687.09275</v>
      </c>
      <c r="F525" s="4" t="n">
        <f aca="false">E525*(1-情景参数!D15)</f>
        <v>13002.7381125</v>
      </c>
      <c r="G525" s="4" t="n">
        <f aca="false">IF(情景参数!E15="原表",驱动复算!U11-驱动复算!W11,驱动复算!P11)</f>
        <v>8526.4608164765</v>
      </c>
      <c r="H525" s="4" t="n">
        <f aca="false">IF(情景参数!E15="原表",驱动复算!W11,F525*情景参数!C15)</f>
        <v>260.05476225</v>
      </c>
      <c r="I525" s="4" t="n">
        <f aca="false">IF(情景参数!E15="原表",驱动复算!U11,G525+H525)</f>
        <v>8786.5155787265</v>
      </c>
      <c r="J525" s="4" t="n">
        <f aca="false">(F525-I525)*(1-情景参数!F15)</f>
        <v>4216.2225337735</v>
      </c>
      <c r="K525" s="4" t="n">
        <f aca="false">偿债原表!F12</f>
        <v>9600</v>
      </c>
      <c r="L525" s="4" t="n">
        <f aca="false">偿债原表!G12</f>
        <v>1018.8</v>
      </c>
      <c r="M525" s="4" t="n">
        <f aca="false">K525+L525</f>
        <v>10618.8</v>
      </c>
      <c r="N525" s="4" t="n">
        <f aca="false">J525-M525</f>
        <v>-6402.5774662265</v>
      </c>
      <c r="O525" s="4" t="n">
        <f aca="false">O524+N525</f>
        <v>-9222.6978697765</v>
      </c>
      <c r="P525" s="4" t="n">
        <f aca="false">MAX(0,-(R524+N525))</f>
        <v>2006.19623857649</v>
      </c>
      <c r="Q525" s="4" t="n">
        <f aca="false">Q524+P525</f>
        <v>9222.6978697765</v>
      </c>
      <c r="R525" s="4" t="n">
        <f aca="false">O525+Q525</f>
        <v>0</v>
      </c>
    </row>
    <row r="526" customFormat="false" ht="15" hidden="false" customHeight="false" outlineLevel="0" collapsed="false">
      <c r="A526" s="2" t="s">
        <v>53</v>
      </c>
      <c r="B526" s="2" t="s">
        <v>40</v>
      </c>
      <c r="C526" s="12" t="n">
        <v>11</v>
      </c>
      <c r="D526" s="12" t="n">
        <v>2034</v>
      </c>
      <c r="E526" s="4" t="n">
        <f aca="false">INDEX(驱动复算!A12:X12,1,情景参数!B15)</f>
        <v>14328.9175875</v>
      </c>
      <c r="F526" s="4" t="n">
        <f aca="false">E526*(1-情景参数!D15)</f>
        <v>13612.471708125</v>
      </c>
      <c r="G526" s="4" t="n">
        <f aca="false">IF(情景参数!E15="原表",驱动复算!U12-驱动复算!W12,驱动复算!P12)</f>
        <v>8782.2546409708</v>
      </c>
      <c r="H526" s="4" t="n">
        <f aca="false">IF(情景参数!E15="原表",驱动复算!W12,F526*情景参数!C15)</f>
        <v>272.2494341625</v>
      </c>
      <c r="I526" s="4" t="n">
        <f aca="false">IF(情景参数!E15="原表",驱动复算!U12,G526+H526)</f>
        <v>9054.5040751333</v>
      </c>
      <c r="J526" s="4" t="n">
        <f aca="false">(F526-I526)*(1-情景参数!F15)</f>
        <v>4557.96763299171</v>
      </c>
      <c r="K526" s="4" t="n">
        <f aca="false">偿债原表!F13</f>
        <v>0</v>
      </c>
      <c r="L526" s="4" t="n">
        <f aca="false">偿债原表!G13</f>
        <v>673.2</v>
      </c>
      <c r="M526" s="4" t="n">
        <f aca="false">K526+L526</f>
        <v>673.2</v>
      </c>
      <c r="N526" s="4" t="n">
        <f aca="false">J526-M526</f>
        <v>3884.76763299171</v>
      </c>
      <c r="O526" s="4" t="n">
        <f aca="false">O525+N526</f>
        <v>-5337.93023678479</v>
      </c>
      <c r="P526" s="4" t="n">
        <f aca="false">MAX(0,-(R525+N526))</f>
        <v>0</v>
      </c>
      <c r="Q526" s="4" t="n">
        <f aca="false">Q525+P526</f>
        <v>9222.6978697765</v>
      </c>
      <c r="R526" s="4" t="n">
        <f aca="false">O526+Q526</f>
        <v>3884.76763299171</v>
      </c>
    </row>
    <row r="527" customFormat="false" ht="15" hidden="false" customHeight="false" outlineLevel="0" collapsed="false">
      <c r="A527" s="2" t="s">
        <v>53</v>
      </c>
      <c r="B527" s="2" t="s">
        <v>40</v>
      </c>
      <c r="C527" s="12" t="n">
        <v>12</v>
      </c>
      <c r="D527" s="12" t="n">
        <v>2035</v>
      </c>
      <c r="E527" s="4" t="n">
        <f aca="false">INDEX(驱动复算!A13:X13,1,情景参数!B15)</f>
        <v>15002.833666875</v>
      </c>
      <c r="F527" s="4" t="n">
        <f aca="false">E527*(1-情景参数!D15)</f>
        <v>14252.6919835313</v>
      </c>
      <c r="G527" s="4" t="n">
        <f aca="false">IF(情景参数!E15="原表",驱动复算!U13-驱动复算!W13,驱动复算!P13)</f>
        <v>9045.72228019992</v>
      </c>
      <c r="H527" s="4" t="n">
        <f aca="false">IF(情景参数!E15="原表",驱动复算!W13,F527*情景参数!C15)</f>
        <v>285.053839670625</v>
      </c>
      <c r="I527" s="4" t="n">
        <f aca="false">IF(情景参数!E15="原表",驱动复算!U13,G527+H527)</f>
        <v>9330.77611987055</v>
      </c>
      <c r="J527" s="4" t="n">
        <f aca="false">(F527-I527)*(1-情景参数!F15)</f>
        <v>4921.91586366071</v>
      </c>
      <c r="K527" s="4" t="n">
        <f aca="false">偿债原表!F14</f>
        <v>0</v>
      </c>
      <c r="L527" s="4" t="n">
        <f aca="false">偿债原表!G14</f>
        <v>673.2</v>
      </c>
      <c r="M527" s="4" t="n">
        <f aca="false">K527+L527</f>
        <v>673.2</v>
      </c>
      <c r="N527" s="4" t="n">
        <f aca="false">J527-M527</f>
        <v>4248.71586366071</v>
      </c>
      <c r="O527" s="4" t="n">
        <f aca="false">O526+N527</f>
        <v>-1089.21437312408</v>
      </c>
      <c r="P527" s="4" t="n">
        <f aca="false">MAX(0,-(R526+N527))</f>
        <v>0</v>
      </c>
      <c r="Q527" s="4" t="n">
        <f aca="false">Q526+P527</f>
        <v>9222.6978697765</v>
      </c>
      <c r="R527" s="4" t="n">
        <f aca="false">O527+Q527</f>
        <v>8133.48349665242</v>
      </c>
    </row>
    <row r="528" customFormat="false" ht="15" hidden="false" customHeight="false" outlineLevel="0" collapsed="false">
      <c r="A528" s="2" t="s">
        <v>53</v>
      </c>
      <c r="B528" s="2" t="s">
        <v>40</v>
      </c>
      <c r="C528" s="12" t="n">
        <v>13</v>
      </c>
      <c r="D528" s="12" t="n">
        <v>2036</v>
      </c>
      <c r="E528" s="4" t="n">
        <f aca="false">INDEX(驱动复算!A14:X14,1,情景参数!B15)</f>
        <v>15710.4455502188</v>
      </c>
      <c r="F528" s="4" t="n">
        <f aca="false">E528*(1-情景参数!D15)</f>
        <v>14924.9232727078</v>
      </c>
      <c r="G528" s="4" t="n">
        <f aca="false">IF(情景参数!E15="原表",驱动复算!U14-驱动复算!W14,驱动复算!P14)</f>
        <v>9317.09394860592</v>
      </c>
      <c r="H528" s="4" t="n">
        <f aca="false">IF(情景参数!E15="原表",驱动复算!W14,F528*情景参数!C15)</f>
        <v>298.498465454156</v>
      </c>
      <c r="I528" s="4" t="n">
        <f aca="false">IF(情景参数!E15="原表",驱动复算!U14,G528+H528)</f>
        <v>9615.59241406008</v>
      </c>
      <c r="J528" s="4" t="n">
        <f aca="false">(F528-I528)*(1-情景参数!F15)</f>
        <v>5309.33085864775</v>
      </c>
      <c r="K528" s="4" t="n">
        <f aca="false">偿债原表!F15</f>
        <v>0</v>
      </c>
      <c r="L528" s="4" t="n">
        <f aca="false">偿债原表!G15</f>
        <v>673.2</v>
      </c>
      <c r="M528" s="4" t="n">
        <f aca="false">K528+L528</f>
        <v>673.2</v>
      </c>
      <c r="N528" s="4" t="n">
        <f aca="false">J528-M528</f>
        <v>4636.13085864775</v>
      </c>
      <c r="O528" s="4" t="n">
        <f aca="false">O527+N528</f>
        <v>3546.91648552367</v>
      </c>
      <c r="P528" s="4" t="n">
        <f aca="false">MAX(0,-(R527+N528))</f>
        <v>0</v>
      </c>
      <c r="Q528" s="4" t="n">
        <f aca="false">Q527+P528</f>
        <v>9222.6978697765</v>
      </c>
      <c r="R528" s="4" t="n">
        <f aca="false">O528+Q528</f>
        <v>12769.6143553002</v>
      </c>
    </row>
    <row r="529" customFormat="false" ht="15" hidden="false" customHeight="false" outlineLevel="0" collapsed="false">
      <c r="A529" s="2" t="s">
        <v>53</v>
      </c>
      <c r="B529" s="2" t="s">
        <v>40</v>
      </c>
      <c r="C529" s="12" t="n">
        <v>14</v>
      </c>
      <c r="D529" s="12" t="n">
        <v>2037</v>
      </c>
      <c r="E529" s="4" t="n">
        <f aca="false">INDEX(驱动复算!A15:X15,1,情景参数!B15)</f>
        <v>16453.4380277297</v>
      </c>
      <c r="F529" s="4" t="n">
        <f aca="false">E529*(1-情景参数!D15)</f>
        <v>15630.7661263432</v>
      </c>
      <c r="G529" s="4" t="n">
        <f aca="false">IF(情景参数!E15="原表",驱动复算!U15-驱动复算!W15,驱动复算!P15)</f>
        <v>9596.6067670641</v>
      </c>
      <c r="H529" s="4" t="n">
        <f aca="false">IF(情景参数!E15="原表",驱动复算!W15,F529*情景参数!C15)</f>
        <v>312.615322526864</v>
      </c>
      <c r="I529" s="4" t="n">
        <f aca="false">IF(情景参数!E15="原表",驱动复算!U15,G529+H529)</f>
        <v>9909.22208959096</v>
      </c>
      <c r="J529" s="4" t="n">
        <f aca="false">(F529-I529)*(1-情景参数!F15)</f>
        <v>5721.54403675225</v>
      </c>
      <c r="K529" s="4" t="n">
        <f aca="false">偿债原表!F16</f>
        <v>1000</v>
      </c>
      <c r="L529" s="4" t="n">
        <f aca="false">偿债原表!G16</f>
        <v>673.2</v>
      </c>
      <c r="M529" s="4" t="n">
        <f aca="false">K529+L529</f>
        <v>1673.2</v>
      </c>
      <c r="N529" s="4" t="n">
        <f aca="false">J529-M529</f>
        <v>4048.34403675225</v>
      </c>
      <c r="O529" s="4" t="n">
        <f aca="false">O528+N529</f>
        <v>7595.26052227592</v>
      </c>
      <c r="P529" s="4" t="n">
        <f aca="false">MAX(0,-(R528+N529))</f>
        <v>0</v>
      </c>
      <c r="Q529" s="4" t="n">
        <f aca="false">Q528+P529</f>
        <v>9222.6978697765</v>
      </c>
      <c r="R529" s="4" t="n">
        <f aca="false">O529+Q529</f>
        <v>16817.9583920524</v>
      </c>
    </row>
    <row r="530" customFormat="false" ht="15" hidden="false" customHeight="false" outlineLevel="0" collapsed="false">
      <c r="A530" s="2" t="s">
        <v>53</v>
      </c>
      <c r="B530" s="2" t="s">
        <v>40</v>
      </c>
      <c r="C530" s="12" t="n">
        <v>15</v>
      </c>
      <c r="D530" s="12" t="n">
        <v>2038</v>
      </c>
      <c r="E530" s="4" t="n">
        <f aca="false">INDEX(驱动复算!A16:X16,1,情景参数!B15)</f>
        <v>16792.3004682843</v>
      </c>
      <c r="F530" s="4" t="n">
        <f aca="false">E530*(1-情景参数!D15)</f>
        <v>15952.6854448701</v>
      </c>
      <c r="G530" s="4" t="n">
        <f aca="false">IF(情景参数!E15="原表",驱动复算!U16-驱动复算!W16,驱动复算!P16)</f>
        <v>9884.50497007602</v>
      </c>
      <c r="H530" s="4" t="n">
        <f aca="false">IF(情景参数!E15="原表",驱动复算!W16,F530*情景参数!C15)</f>
        <v>319.053708897402</v>
      </c>
      <c r="I530" s="4" t="n">
        <f aca="false">IF(情景参数!E15="原表",驱动复算!U16,G530+H530)</f>
        <v>10203.5586789734</v>
      </c>
      <c r="J530" s="4" t="n">
        <f aca="false">(F530-I530)*(1-情景参数!F15)</f>
        <v>5749.12676589666</v>
      </c>
      <c r="K530" s="4" t="n">
        <f aca="false">偿债原表!F17</f>
        <v>0</v>
      </c>
      <c r="L530" s="4" t="n">
        <f aca="false">偿债原表!G17</f>
        <v>644</v>
      </c>
      <c r="M530" s="4" t="n">
        <f aca="false">K530+L530</f>
        <v>644</v>
      </c>
      <c r="N530" s="4" t="n">
        <f aca="false">J530-M530</f>
        <v>5105.12676589666</v>
      </c>
      <c r="O530" s="4" t="n">
        <f aca="false">O529+N530</f>
        <v>12700.3872881726</v>
      </c>
      <c r="P530" s="4" t="n">
        <f aca="false">MAX(0,-(R529+N530))</f>
        <v>0</v>
      </c>
      <c r="Q530" s="4" t="n">
        <f aca="false">Q529+P530</f>
        <v>9222.6978697765</v>
      </c>
      <c r="R530" s="4" t="n">
        <f aca="false">O530+Q530</f>
        <v>21923.0851579491</v>
      </c>
    </row>
    <row r="531" customFormat="false" ht="15" hidden="false" customHeight="false" outlineLevel="0" collapsed="false">
      <c r="A531" s="2" t="s">
        <v>53</v>
      </c>
      <c r="B531" s="2" t="s">
        <v>40</v>
      </c>
      <c r="C531" s="12" t="n">
        <v>16</v>
      </c>
      <c r="D531" s="12" t="n">
        <v>2039</v>
      </c>
      <c r="E531" s="4" t="n">
        <f aca="false">INDEX(驱动复算!A17:X17,1,情景参数!B15)</f>
        <v>17110.59844565</v>
      </c>
      <c r="F531" s="4" t="n">
        <f aca="false">E531*(1-情景参数!D15)</f>
        <v>16255.0685233675</v>
      </c>
      <c r="G531" s="4" t="n">
        <f aca="false">IF(情景参数!E15="原表",驱动复算!U17-驱动复算!W17,驱动复算!P17)</f>
        <v>10181.0401191783</v>
      </c>
      <c r="H531" s="4" t="n">
        <f aca="false">IF(情景参数!E15="原表",驱动复算!W17,F531*情景参数!C15)</f>
        <v>325.10137046735</v>
      </c>
      <c r="I531" s="4" t="n">
        <f aca="false">IF(情景参数!E15="原表",驱动复算!U17,G531+H531)</f>
        <v>10506.1414896457</v>
      </c>
      <c r="J531" s="4" t="n">
        <f aca="false">(F531-I531)*(1-情景参数!F15)</f>
        <v>5748.92703372183</v>
      </c>
      <c r="K531" s="4" t="n">
        <f aca="false">偿债原表!F18</f>
        <v>0</v>
      </c>
      <c r="L531" s="4" t="n">
        <f aca="false">偿债原表!G18</f>
        <v>644</v>
      </c>
      <c r="M531" s="4" t="n">
        <f aca="false">K531+L531</f>
        <v>644</v>
      </c>
      <c r="N531" s="4" t="n">
        <f aca="false">J531-M531</f>
        <v>5104.92703372183</v>
      </c>
      <c r="O531" s="4" t="n">
        <f aca="false">O530+N531</f>
        <v>17805.3143218944</v>
      </c>
      <c r="P531" s="4" t="n">
        <f aca="false">MAX(0,-(R530+N531))</f>
        <v>0</v>
      </c>
      <c r="Q531" s="4" t="n">
        <f aca="false">Q530+P531</f>
        <v>9222.6978697765</v>
      </c>
      <c r="R531" s="4" t="n">
        <f aca="false">O531+Q531</f>
        <v>27028.0121916709</v>
      </c>
    </row>
    <row r="532" customFormat="false" ht="15" hidden="false" customHeight="false" outlineLevel="0" collapsed="false">
      <c r="A532" s="2" t="s">
        <v>53</v>
      </c>
      <c r="B532" s="2" t="s">
        <v>40</v>
      </c>
      <c r="C532" s="12" t="n">
        <v>17</v>
      </c>
      <c r="D532" s="12" t="n">
        <v>2040</v>
      </c>
      <c r="E532" s="4" t="n">
        <f aca="false">INDEX(驱动复算!A18:X18,1,情景参数!B15)</f>
        <v>17435.262382563</v>
      </c>
      <c r="F532" s="4" t="n">
        <f aca="false">E532*(1-情景参数!D15)</f>
        <v>16563.4992634348</v>
      </c>
      <c r="G532" s="4" t="n">
        <f aca="false">IF(情景参数!E15="原表",驱动复算!U18-驱动复算!W18,驱动复算!P18)</f>
        <v>10486.4713227536</v>
      </c>
      <c r="H532" s="4" t="n">
        <f aca="false">IF(情景参数!E15="原表",驱动复算!W18,F532*情景参数!C15)</f>
        <v>331.269985268697</v>
      </c>
      <c r="I532" s="4" t="n">
        <f aca="false">IF(情景参数!E15="原表",驱动复算!U18,G532+H532)</f>
        <v>10817.7413080223</v>
      </c>
      <c r="J532" s="4" t="n">
        <f aca="false">(F532-I532)*(1-情景参数!F15)</f>
        <v>5745.75795541249</v>
      </c>
      <c r="K532" s="4" t="n">
        <f aca="false">偿债原表!F19</f>
        <v>0</v>
      </c>
      <c r="L532" s="4" t="n">
        <f aca="false">偿债原表!G19</f>
        <v>644</v>
      </c>
      <c r="M532" s="4" t="n">
        <f aca="false">K532+L532</f>
        <v>644</v>
      </c>
      <c r="N532" s="4" t="n">
        <f aca="false">J532-M532</f>
        <v>5101.75795541249</v>
      </c>
      <c r="O532" s="4" t="n">
        <f aca="false">O531+N532</f>
        <v>22907.0722773069</v>
      </c>
      <c r="P532" s="4" t="n">
        <f aca="false">MAX(0,-(R531+N532))</f>
        <v>0</v>
      </c>
      <c r="Q532" s="4" t="n">
        <f aca="false">Q531+P532</f>
        <v>9222.6978697765</v>
      </c>
      <c r="R532" s="4" t="n">
        <f aca="false">O532+Q532</f>
        <v>32129.7701470834</v>
      </c>
    </row>
    <row r="533" customFormat="false" ht="15" hidden="false" customHeight="false" outlineLevel="0" collapsed="false">
      <c r="A533" s="2" t="s">
        <v>53</v>
      </c>
      <c r="B533" s="2" t="s">
        <v>40</v>
      </c>
      <c r="C533" s="12" t="n">
        <v>18</v>
      </c>
      <c r="D533" s="12" t="n">
        <v>2041</v>
      </c>
      <c r="E533" s="4" t="n">
        <f aca="false">INDEX(驱动复算!A19:X19,1,情景参数!B15)</f>
        <v>17766.4195982142</v>
      </c>
      <c r="F533" s="4" t="n">
        <f aca="false">E533*(1-情景参数!D15)</f>
        <v>16878.0986183035</v>
      </c>
      <c r="G533" s="4" t="n">
        <f aca="false">IF(情景参数!E15="原表",驱动复算!U19-驱动复算!W19,驱动复算!P19)</f>
        <v>10801.0654624363</v>
      </c>
      <c r="H533" s="4" t="n">
        <f aca="false">IF(情景参数!E15="原表",驱动复算!W19,F533*情景参数!C15)</f>
        <v>337.561972366071</v>
      </c>
      <c r="I533" s="4" t="n">
        <f aca="false">IF(情景参数!E15="原表",驱动复算!U19,G533+H533)</f>
        <v>11138.6274348023</v>
      </c>
      <c r="J533" s="4" t="n">
        <f aca="false">(F533-I533)*(1-情景参数!F15)</f>
        <v>5739.47118350119</v>
      </c>
      <c r="K533" s="4" t="n">
        <f aca="false">偿债原表!F20</f>
        <v>20000</v>
      </c>
      <c r="L533" s="4" t="n">
        <f aca="false">偿债原表!G20</f>
        <v>644</v>
      </c>
      <c r="M533" s="4" t="n">
        <f aca="false">K533+L533</f>
        <v>20644</v>
      </c>
      <c r="N533" s="4" t="n">
        <f aca="false">J533-M533</f>
        <v>-14904.5288164988</v>
      </c>
      <c r="O533" s="4" t="n">
        <f aca="false">O532+N533</f>
        <v>8002.54346080809</v>
      </c>
      <c r="P533" s="4" t="n">
        <f aca="false">MAX(0,-(R532+N533))</f>
        <v>0</v>
      </c>
      <c r="Q533" s="4" t="n">
        <f aca="false">Q532+P533</f>
        <v>9222.6978697765</v>
      </c>
      <c r="R533" s="4" t="n">
        <f aca="false">O533+Q533</f>
        <v>17225.2413305846</v>
      </c>
    </row>
    <row r="534" customFormat="false" ht="15" hidden="false" customHeight="false" outlineLevel="0" collapsed="false">
      <c r="A534" s="2" t="s">
        <v>54</v>
      </c>
      <c r="B534" s="2" t="s">
        <v>39</v>
      </c>
      <c r="C534" s="12" t="n">
        <v>0</v>
      </c>
      <c r="D534" s="13" t="s">
        <v>248</v>
      </c>
      <c r="E534" s="4" t="n">
        <f aca="false">0</f>
        <v>0</v>
      </c>
      <c r="F534" s="4" t="n">
        <f aca="false">E534*(1-情景参数!D16)</f>
        <v>0</v>
      </c>
      <c r="G534" s="4" t="n">
        <f aca="false">0</f>
        <v>0</v>
      </c>
      <c r="H534" s="4" t="n">
        <f aca="false">0</f>
        <v>0</v>
      </c>
      <c r="I534" s="4" t="n">
        <f aca="false">0</f>
        <v>0</v>
      </c>
      <c r="J534" s="4" t="n">
        <f aca="false">(F534-I534)*(1-情景参数!F16)</f>
        <v>0</v>
      </c>
      <c r="K534" s="4" t="n">
        <f aca="false">偿债原表!C2</f>
        <v>0</v>
      </c>
      <c r="L534" s="4" t="n">
        <f aca="false">偿债原表!D2</f>
        <v>1374.2</v>
      </c>
      <c r="M534" s="4" t="n">
        <f aca="false">K534+L534</f>
        <v>1374.2</v>
      </c>
      <c r="N534" s="4" t="n">
        <f aca="false">J534-M534</f>
        <v>-1374.2</v>
      </c>
      <c r="O534" s="4" t="n">
        <f aca="false">N534</f>
        <v>-1374.2</v>
      </c>
      <c r="P534" s="4" t="n">
        <f aca="false">MAX(0,-N534)</f>
        <v>1374.2</v>
      </c>
      <c r="Q534" s="4" t="n">
        <f aca="false">P534</f>
        <v>1374.2</v>
      </c>
      <c r="R534" s="4" t="n">
        <f aca="false">O534+Q534</f>
        <v>0</v>
      </c>
    </row>
    <row r="535" customFormat="false" ht="15" hidden="false" customHeight="false" outlineLevel="0" collapsed="false">
      <c r="A535" s="2" t="s">
        <v>54</v>
      </c>
      <c r="B535" s="2" t="s">
        <v>39</v>
      </c>
      <c r="C535" s="12" t="n">
        <v>1</v>
      </c>
      <c r="D535" s="12" t="n">
        <v>2024</v>
      </c>
      <c r="E535" s="4" t="n">
        <f aca="false">INDEX(驱动复算!A2:X2,1,情景参数!B16)</f>
        <v>0</v>
      </c>
      <c r="F535" s="4" t="n">
        <f aca="false">E535*(1-情景参数!D16)</f>
        <v>0</v>
      </c>
      <c r="G535" s="4" t="n">
        <f aca="false">IF(情景参数!E16="原表",驱动复算!U2-驱动复算!W2,驱动复算!P2)</f>
        <v>0</v>
      </c>
      <c r="H535" s="4" t="n">
        <f aca="false">IF(情景参数!E16="原表",驱动复算!W2,F535*情景参数!C16)</f>
        <v>0</v>
      </c>
      <c r="I535" s="4" t="n">
        <f aca="false">IF(情景参数!E16="原表",驱动复算!U2,G535+H535)</f>
        <v>0</v>
      </c>
      <c r="J535" s="4" t="n">
        <f aca="false">(F535-I535)*(1-情景参数!F16)</f>
        <v>0</v>
      </c>
      <c r="K535" s="4" t="n">
        <f aca="false">偿债原表!C3</f>
        <v>0</v>
      </c>
      <c r="L535" s="4" t="n">
        <f aca="false">偿债原表!D3</f>
        <v>1093.2</v>
      </c>
      <c r="M535" s="4" t="n">
        <f aca="false">K535+L535</f>
        <v>1093.2</v>
      </c>
      <c r="N535" s="4" t="n">
        <f aca="false">J535-M535</f>
        <v>-1093.2</v>
      </c>
      <c r="O535" s="4" t="n">
        <f aca="false">O534+N535</f>
        <v>-2467.4</v>
      </c>
      <c r="P535" s="4" t="n">
        <f aca="false">MAX(0,-(R534+N535))</f>
        <v>1093.2</v>
      </c>
      <c r="Q535" s="4" t="n">
        <f aca="false">Q534+P535</f>
        <v>2467.4</v>
      </c>
      <c r="R535" s="4" t="n">
        <f aca="false">O535+Q535</f>
        <v>0</v>
      </c>
    </row>
    <row r="536" customFormat="false" ht="15" hidden="false" customHeight="false" outlineLevel="0" collapsed="false">
      <c r="A536" s="2" t="s">
        <v>54</v>
      </c>
      <c r="B536" s="2" t="s">
        <v>39</v>
      </c>
      <c r="C536" s="12" t="n">
        <v>2</v>
      </c>
      <c r="D536" s="12" t="n">
        <v>2025</v>
      </c>
      <c r="E536" s="4" t="n">
        <f aca="false">INDEX(驱动复算!A3:X3,1,情景参数!B16)</f>
        <v>0</v>
      </c>
      <c r="F536" s="4" t="n">
        <f aca="false">E536*(1-情景参数!D16)</f>
        <v>0</v>
      </c>
      <c r="G536" s="4" t="n">
        <f aca="false">IF(情景参数!E16="原表",驱动复算!U3-驱动复算!W3,驱动复算!P3)</f>
        <v>0</v>
      </c>
      <c r="H536" s="4" t="n">
        <f aca="false">IF(情景参数!E16="原表",驱动复算!W3,F536*情景参数!C16)</f>
        <v>0</v>
      </c>
      <c r="I536" s="4" t="n">
        <f aca="false">IF(情景参数!E16="原表",驱动复算!U3,G536+H536)</f>
        <v>0</v>
      </c>
      <c r="J536" s="4" t="n">
        <f aca="false">(F536-I536)*(1-情景参数!F16)</f>
        <v>0</v>
      </c>
      <c r="K536" s="4" t="n">
        <f aca="false">偿债原表!C4</f>
        <v>0</v>
      </c>
      <c r="L536" s="4" t="n">
        <f aca="false">偿债原表!D4</f>
        <v>1093.2</v>
      </c>
      <c r="M536" s="4" t="n">
        <f aca="false">K536+L536</f>
        <v>1093.2</v>
      </c>
      <c r="N536" s="4" t="n">
        <f aca="false">J536-M536</f>
        <v>-1093.2</v>
      </c>
      <c r="O536" s="4" t="n">
        <f aca="false">O535+N536</f>
        <v>-3560.6</v>
      </c>
      <c r="P536" s="4" t="n">
        <f aca="false">MAX(0,-(R535+N536))</f>
        <v>1093.2</v>
      </c>
      <c r="Q536" s="4" t="n">
        <f aca="false">Q535+P536</f>
        <v>3560.6</v>
      </c>
      <c r="R536" s="4" t="n">
        <f aca="false">O536+Q536</f>
        <v>0</v>
      </c>
    </row>
    <row r="537" customFormat="false" ht="15" hidden="false" customHeight="false" outlineLevel="0" collapsed="false">
      <c r="A537" s="2" t="s">
        <v>54</v>
      </c>
      <c r="B537" s="2" t="s">
        <v>39</v>
      </c>
      <c r="C537" s="12" t="n">
        <v>3</v>
      </c>
      <c r="D537" s="12" t="n">
        <v>2026</v>
      </c>
      <c r="E537" s="4" t="n">
        <f aca="false">INDEX(驱动复算!A4:X4,1,情景参数!B16)</f>
        <v>0</v>
      </c>
      <c r="F537" s="4" t="n">
        <f aca="false">E537*(1-情景参数!D16)</f>
        <v>0</v>
      </c>
      <c r="G537" s="4" t="n">
        <f aca="false">IF(情景参数!E16="原表",驱动复算!U4-驱动复算!W4,驱动复算!P4)</f>
        <v>0</v>
      </c>
      <c r="H537" s="4" t="n">
        <f aca="false">IF(情景参数!E16="原表",驱动复算!W4,F537*情景参数!C16)</f>
        <v>0</v>
      </c>
      <c r="I537" s="4" t="n">
        <f aca="false">IF(情景参数!E16="原表",驱动复算!U4,G537+H537)</f>
        <v>0</v>
      </c>
      <c r="J537" s="4" t="n">
        <f aca="false">(F537-I537)*(1-情景参数!F16)</f>
        <v>0</v>
      </c>
      <c r="K537" s="4" t="n">
        <f aca="false">偿债原表!C5</f>
        <v>0</v>
      </c>
      <c r="L537" s="4" t="n">
        <f aca="false">偿债原表!D5</f>
        <v>1093.2</v>
      </c>
      <c r="M537" s="4" t="n">
        <f aca="false">K537+L537</f>
        <v>1093.2</v>
      </c>
      <c r="N537" s="4" t="n">
        <f aca="false">J537-M537</f>
        <v>-1093.2</v>
      </c>
      <c r="O537" s="4" t="n">
        <f aca="false">O536+N537</f>
        <v>-4653.8</v>
      </c>
      <c r="P537" s="4" t="n">
        <f aca="false">MAX(0,-(R536+N537))</f>
        <v>1093.2</v>
      </c>
      <c r="Q537" s="4" t="n">
        <f aca="false">Q536+P537</f>
        <v>4653.8</v>
      </c>
      <c r="R537" s="4" t="n">
        <f aca="false">O537+Q537</f>
        <v>0</v>
      </c>
    </row>
    <row r="538" customFormat="false" ht="15" hidden="false" customHeight="false" outlineLevel="0" collapsed="false">
      <c r="A538" s="2" t="s">
        <v>54</v>
      </c>
      <c r="B538" s="2" t="s">
        <v>39</v>
      </c>
      <c r="C538" s="12" t="n">
        <v>4</v>
      </c>
      <c r="D538" s="12" t="n">
        <v>2027</v>
      </c>
      <c r="E538" s="4" t="n">
        <f aca="false">INDEX(驱动复算!A5:X5,1,情景参数!B16)</f>
        <v>0</v>
      </c>
      <c r="F538" s="4" t="n">
        <f aca="false">E538*(1-情景参数!D16)</f>
        <v>0</v>
      </c>
      <c r="G538" s="4" t="n">
        <f aca="false">IF(情景参数!E16="原表",驱动复算!U5-驱动复算!W5,驱动复算!P5)</f>
        <v>0</v>
      </c>
      <c r="H538" s="4" t="n">
        <f aca="false">IF(情景参数!E16="原表",驱动复算!W5,F538*情景参数!C16)</f>
        <v>0</v>
      </c>
      <c r="I538" s="4" t="n">
        <f aca="false">IF(情景参数!E16="原表",驱动复算!U5,G538+H538)</f>
        <v>0</v>
      </c>
      <c r="J538" s="4" t="n">
        <f aca="false">(F538-I538)*(1-情景参数!F16)</f>
        <v>0</v>
      </c>
      <c r="K538" s="4" t="n">
        <f aca="false">偿债原表!C6</f>
        <v>0</v>
      </c>
      <c r="L538" s="4" t="n">
        <f aca="false">偿债原表!D6</f>
        <v>1093.2</v>
      </c>
      <c r="M538" s="4" t="n">
        <f aca="false">K538+L538</f>
        <v>1093.2</v>
      </c>
      <c r="N538" s="4" t="n">
        <f aca="false">J538-M538</f>
        <v>-1093.2</v>
      </c>
      <c r="O538" s="4" t="n">
        <f aca="false">O537+N538</f>
        <v>-5747</v>
      </c>
      <c r="P538" s="4" t="n">
        <f aca="false">MAX(0,-(R537+N538))</f>
        <v>1093.2</v>
      </c>
      <c r="Q538" s="4" t="n">
        <f aca="false">Q537+P538</f>
        <v>5747</v>
      </c>
      <c r="R538" s="4" t="n">
        <f aca="false">O538+Q538</f>
        <v>0</v>
      </c>
    </row>
    <row r="539" customFormat="false" ht="15" hidden="false" customHeight="false" outlineLevel="0" collapsed="false">
      <c r="A539" s="2" t="s">
        <v>54</v>
      </c>
      <c r="B539" s="2" t="s">
        <v>39</v>
      </c>
      <c r="C539" s="12" t="n">
        <v>5</v>
      </c>
      <c r="D539" s="12" t="n">
        <v>2028</v>
      </c>
      <c r="E539" s="4" t="n">
        <f aca="false">INDEX(驱动复算!A6:X6,1,情景参数!B16)</f>
        <v>9076.9</v>
      </c>
      <c r="F539" s="4" t="n">
        <f aca="false">E539*(1-情景参数!D16)</f>
        <v>8623.055</v>
      </c>
      <c r="G539" s="4" t="n">
        <f aca="false">IF(情景参数!E16="原表",驱动复算!U6-驱动复算!W6,驱动复算!P6)</f>
        <v>7355</v>
      </c>
      <c r="H539" s="4" t="n">
        <f aca="false">IF(情景参数!E16="原表",驱动复算!W6,F539*情景参数!C16)</f>
        <v>172.4611</v>
      </c>
      <c r="I539" s="4" t="n">
        <f aca="false">IF(情景参数!E16="原表",驱动复算!U6,G539+H539)</f>
        <v>7527.4611</v>
      </c>
      <c r="J539" s="4" t="n">
        <f aca="false">(F539-I539)*(1-情景参数!F16)</f>
        <v>1095.5939</v>
      </c>
      <c r="K539" s="4" t="n">
        <f aca="false">偿债原表!C7</f>
        <v>11000</v>
      </c>
      <c r="L539" s="4" t="n">
        <f aca="false">偿债原表!D7</f>
        <v>1093.2</v>
      </c>
      <c r="M539" s="4" t="n">
        <f aca="false">K539+L539</f>
        <v>12093.2</v>
      </c>
      <c r="N539" s="4" t="n">
        <f aca="false">J539-M539</f>
        <v>-10997.6061</v>
      </c>
      <c r="O539" s="4" t="n">
        <f aca="false">O538+N539</f>
        <v>-16744.6061</v>
      </c>
      <c r="P539" s="4" t="n">
        <f aca="false">MAX(0,-(R538+N539))</f>
        <v>10997.6061</v>
      </c>
      <c r="Q539" s="4" t="n">
        <f aca="false">Q538+P539</f>
        <v>16744.6061</v>
      </c>
      <c r="R539" s="4" t="n">
        <f aca="false">O539+Q539</f>
        <v>0</v>
      </c>
    </row>
    <row r="540" customFormat="false" ht="15" hidden="false" customHeight="false" outlineLevel="0" collapsed="false">
      <c r="A540" s="2" t="s">
        <v>54</v>
      </c>
      <c r="B540" s="2" t="s">
        <v>39</v>
      </c>
      <c r="C540" s="12" t="n">
        <v>6</v>
      </c>
      <c r="D540" s="12" t="n">
        <v>2029</v>
      </c>
      <c r="E540" s="4" t="n">
        <f aca="false">INDEX(驱动复算!A7:X7,1,情景参数!B16)</f>
        <v>9965.51</v>
      </c>
      <c r="F540" s="4" t="n">
        <f aca="false">E540*(1-情景参数!D16)</f>
        <v>9467.2345</v>
      </c>
      <c r="G540" s="4" t="n">
        <f aca="false">IF(情景参数!E16="原表",驱动复算!U7-驱动复算!W7,驱动复算!P7)</f>
        <v>7575.65</v>
      </c>
      <c r="H540" s="4" t="n">
        <f aca="false">IF(情景参数!E16="原表",驱动复算!W7,F540*情景参数!C16)</f>
        <v>189.34469</v>
      </c>
      <c r="I540" s="4" t="n">
        <f aca="false">IF(情景参数!E16="原表",驱动复算!U7,G540+H540)</f>
        <v>7764.99469</v>
      </c>
      <c r="J540" s="4" t="n">
        <f aca="false">(F540-I540)*(1-情景参数!F16)</f>
        <v>1702.23981</v>
      </c>
      <c r="K540" s="4" t="n">
        <f aca="false">偿债原表!C8</f>
        <v>0</v>
      </c>
      <c r="L540" s="4" t="n">
        <f aca="false">偿债原表!D8</f>
        <v>730.2</v>
      </c>
      <c r="M540" s="4" t="n">
        <f aca="false">K540+L540</f>
        <v>730.2</v>
      </c>
      <c r="N540" s="4" t="n">
        <f aca="false">J540-M540</f>
        <v>972.039809999998</v>
      </c>
      <c r="O540" s="4" t="n">
        <f aca="false">O539+N540</f>
        <v>-15772.56629</v>
      </c>
      <c r="P540" s="4" t="n">
        <f aca="false">MAX(0,-(R539+N540))</f>
        <v>0</v>
      </c>
      <c r="Q540" s="4" t="n">
        <f aca="false">Q539+P540</f>
        <v>16744.6061</v>
      </c>
      <c r="R540" s="4" t="n">
        <f aca="false">O540+Q540</f>
        <v>972.039809999998</v>
      </c>
    </row>
    <row r="541" customFormat="false" ht="15" hidden="false" customHeight="false" outlineLevel="0" collapsed="false">
      <c r="A541" s="2" t="s">
        <v>54</v>
      </c>
      <c r="B541" s="2" t="s">
        <v>39</v>
      </c>
      <c r="C541" s="12" t="n">
        <v>7</v>
      </c>
      <c r="D541" s="12" t="n">
        <v>2030</v>
      </c>
      <c r="E541" s="4" t="n">
        <f aca="false">INDEX(驱动复算!A8:X8,1,情景参数!B16)</f>
        <v>10884.01</v>
      </c>
      <c r="F541" s="4" t="n">
        <f aca="false">E541*(1-情景参数!D16)</f>
        <v>10339.8095</v>
      </c>
      <c r="G541" s="4" t="n">
        <f aca="false">IF(情景参数!E16="原表",驱动复算!U8-驱动复算!W8,驱动复算!P8)</f>
        <v>7802.9195</v>
      </c>
      <c r="H541" s="4" t="n">
        <f aca="false">IF(情景参数!E16="原表",驱动复算!W8,F541*情景参数!C16)</f>
        <v>206.79619</v>
      </c>
      <c r="I541" s="4" t="n">
        <f aca="false">IF(情景参数!E16="原表",驱动复算!U8,G541+H541)</f>
        <v>8009.71569</v>
      </c>
      <c r="J541" s="4" t="n">
        <f aca="false">(F541-I541)*(1-情景参数!F16)</f>
        <v>2330.09381</v>
      </c>
      <c r="K541" s="4" t="n">
        <f aca="false">偿债原表!C9</f>
        <v>0</v>
      </c>
      <c r="L541" s="4" t="n">
        <f aca="false">偿债原表!D9</f>
        <v>730.2</v>
      </c>
      <c r="M541" s="4" t="n">
        <f aca="false">K541+L541</f>
        <v>730.2</v>
      </c>
      <c r="N541" s="4" t="n">
        <f aca="false">J541-M541</f>
        <v>1599.89381</v>
      </c>
      <c r="O541" s="4" t="n">
        <f aca="false">O540+N541</f>
        <v>-14172.67248</v>
      </c>
      <c r="P541" s="4" t="n">
        <f aca="false">MAX(0,-(R540+N541))</f>
        <v>0</v>
      </c>
      <c r="Q541" s="4" t="n">
        <f aca="false">Q540+P541</f>
        <v>16744.6061</v>
      </c>
      <c r="R541" s="4" t="n">
        <f aca="false">O541+Q541</f>
        <v>2571.93362</v>
      </c>
    </row>
    <row r="542" customFormat="false" ht="15" hidden="false" customHeight="false" outlineLevel="0" collapsed="false">
      <c r="A542" s="2" t="s">
        <v>54</v>
      </c>
      <c r="B542" s="2" t="s">
        <v>39</v>
      </c>
      <c r="C542" s="12" t="n">
        <v>8</v>
      </c>
      <c r="D542" s="12" t="n">
        <v>2031</v>
      </c>
      <c r="E542" s="4" t="n">
        <f aca="false">INDEX(驱动复算!A9:X9,1,情景参数!B16)</f>
        <v>11894.36</v>
      </c>
      <c r="F542" s="4" t="n">
        <f aca="false">E542*(1-情景参数!D16)</f>
        <v>11299.642</v>
      </c>
      <c r="G542" s="4" t="n">
        <f aca="false">IF(情景参数!E16="原表",驱动复算!U9-驱动复算!W9,驱动复算!P9)</f>
        <v>8037.007085</v>
      </c>
      <c r="H542" s="4" t="n">
        <f aca="false">IF(情景参数!E16="原表",驱动复算!W9,F542*情景参数!C16)</f>
        <v>225.99284</v>
      </c>
      <c r="I542" s="4" t="n">
        <f aca="false">IF(情景参数!E16="原表",驱动复算!U9,G542+H542)</f>
        <v>8262.999925</v>
      </c>
      <c r="J542" s="4" t="n">
        <f aca="false">(F542-I542)*(1-情景参数!F16)</f>
        <v>3036.642075</v>
      </c>
      <c r="K542" s="4" t="n">
        <f aca="false">偿债原表!C10</f>
        <v>0</v>
      </c>
      <c r="L542" s="4" t="n">
        <f aca="false">偿债原表!D10</f>
        <v>730.2</v>
      </c>
      <c r="M542" s="4" t="n">
        <f aca="false">K542+L542</f>
        <v>730.2</v>
      </c>
      <c r="N542" s="4" t="n">
        <f aca="false">J542-M542</f>
        <v>2306.442075</v>
      </c>
      <c r="O542" s="4" t="n">
        <f aca="false">O541+N542</f>
        <v>-11866.230405</v>
      </c>
      <c r="P542" s="4" t="n">
        <f aca="false">MAX(0,-(R541+N542))</f>
        <v>0</v>
      </c>
      <c r="Q542" s="4" t="n">
        <f aca="false">Q541+P542</f>
        <v>16744.6061</v>
      </c>
      <c r="R542" s="4" t="n">
        <f aca="false">O542+Q542</f>
        <v>4878.375695</v>
      </c>
    </row>
    <row r="543" customFormat="false" ht="15" hidden="false" customHeight="false" outlineLevel="0" collapsed="false">
      <c r="A543" s="2" t="s">
        <v>54</v>
      </c>
      <c r="B543" s="2" t="s">
        <v>39</v>
      </c>
      <c r="C543" s="12" t="n">
        <v>9</v>
      </c>
      <c r="D543" s="12" t="n">
        <v>2032</v>
      </c>
      <c r="E543" s="4" t="n">
        <f aca="false">INDEX(驱动复算!A10:X10,1,情景参数!B16)</f>
        <v>13005.745</v>
      </c>
      <c r="F543" s="4" t="n">
        <f aca="false">E543*(1-情景参数!D16)</f>
        <v>12355.45775</v>
      </c>
      <c r="G543" s="4" t="n">
        <f aca="false">IF(情景参数!E16="原表",驱动复算!U10-驱动复算!W10,驱动复算!P10)</f>
        <v>8278.11729755</v>
      </c>
      <c r="H543" s="4" t="n">
        <f aca="false">IF(情景参数!E16="原表",驱动复算!W10,F543*情景参数!C16)</f>
        <v>247.109155</v>
      </c>
      <c r="I543" s="4" t="n">
        <f aca="false">IF(情景参数!E16="原表",驱动复算!U10,G543+H543)</f>
        <v>8525.22645255</v>
      </c>
      <c r="J543" s="4" t="n">
        <f aca="false">(F543-I543)*(1-情景参数!F16)</f>
        <v>3830.23129745</v>
      </c>
      <c r="K543" s="4" t="n">
        <f aca="false">偿债原表!C11</f>
        <v>2000</v>
      </c>
      <c r="L543" s="4" t="n">
        <f aca="false">偿债原表!D11</f>
        <v>730.2</v>
      </c>
      <c r="M543" s="4" t="n">
        <f aca="false">K543+L543</f>
        <v>2730.2</v>
      </c>
      <c r="N543" s="4" t="n">
        <f aca="false">J543-M543</f>
        <v>1100.03129745</v>
      </c>
      <c r="O543" s="4" t="n">
        <f aca="false">O542+N543</f>
        <v>-10766.19910755</v>
      </c>
      <c r="P543" s="4" t="n">
        <f aca="false">MAX(0,-(R542+N543))</f>
        <v>0</v>
      </c>
      <c r="Q543" s="4" t="n">
        <f aca="false">Q542+P543</f>
        <v>16744.6061</v>
      </c>
      <c r="R543" s="4" t="n">
        <f aca="false">O543+Q543</f>
        <v>5978.40699245</v>
      </c>
    </row>
    <row r="544" customFormat="false" ht="15" hidden="false" customHeight="false" outlineLevel="0" collapsed="false">
      <c r="A544" s="2" t="s">
        <v>54</v>
      </c>
      <c r="B544" s="2" t="s">
        <v>39</v>
      </c>
      <c r="C544" s="12" t="n">
        <v>10</v>
      </c>
      <c r="D544" s="12" t="n">
        <v>2033</v>
      </c>
      <c r="E544" s="4" t="n">
        <f aca="false">INDEX(驱动复算!A11:X11,1,情景参数!B16)</f>
        <v>13713.89675</v>
      </c>
      <c r="F544" s="4" t="n">
        <f aca="false">E544*(1-情景参数!D16)</f>
        <v>13028.2019125</v>
      </c>
      <c r="G544" s="4" t="n">
        <f aca="false">IF(情景参数!E16="原表",驱动复算!U11-驱动复算!W11,驱动复算!P11)</f>
        <v>8526.4608164765</v>
      </c>
      <c r="H544" s="4" t="n">
        <f aca="false">IF(情景参数!E16="原表",驱动复算!W11,F544*情景参数!C16)</f>
        <v>260.56403825</v>
      </c>
      <c r="I544" s="4" t="n">
        <f aca="false">IF(情景参数!E16="原表",驱动复算!U11,G544+H544)</f>
        <v>8787.0248547265</v>
      </c>
      <c r="J544" s="4" t="n">
        <f aca="false">(F544-I544)*(1-情景参数!F16)</f>
        <v>4241.1770577735</v>
      </c>
      <c r="K544" s="4" t="n">
        <f aca="false">偿债原表!C12</f>
        <v>0</v>
      </c>
      <c r="L544" s="4" t="n">
        <f aca="false">偿债原表!D12</f>
        <v>673.2</v>
      </c>
      <c r="M544" s="4" t="n">
        <f aca="false">K544+L544</f>
        <v>673.2</v>
      </c>
      <c r="N544" s="4" t="n">
        <f aca="false">J544-M544</f>
        <v>3567.9770577735</v>
      </c>
      <c r="O544" s="4" t="n">
        <f aca="false">O543+N544</f>
        <v>-7198.2220497765</v>
      </c>
      <c r="P544" s="4" t="n">
        <f aca="false">MAX(0,-(R543+N544))</f>
        <v>0</v>
      </c>
      <c r="Q544" s="4" t="n">
        <f aca="false">Q543+P544</f>
        <v>16744.6061</v>
      </c>
      <c r="R544" s="4" t="n">
        <f aca="false">O544+Q544</f>
        <v>9546.3840502235</v>
      </c>
    </row>
    <row r="545" customFormat="false" ht="15" hidden="false" customHeight="false" outlineLevel="0" collapsed="false">
      <c r="A545" s="2" t="s">
        <v>54</v>
      </c>
      <c r="B545" s="2" t="s">
        <v>39</v>
      </c>
      <c r="C545" s="12" t="n">
        <v>11</v>
      </c>
      <c r="D545" s="12" t="n">
        <v>2034</v>
      </c>
      <c r="E545" s="4" t="n">
        <f aca="false">INDEX(驱动复算!A12:X12,1,情景参数!B16)</f>
        <v>14355.7215875</v>
      </c>
      <c r="F545" s="4" t="n">
        <f aca="false">E545*(1-情景参数!D16)</f>
        <v>13637.935508125</v>
      </c>
      <c r="G545" s="4" t="n">
        <f aca="false">IF(情景参数!E16="原表",驱动复算!U12-驱动复算!W12,驱动复算!P12)</f>
        <v>8782.2546409708</v>
      </c>
      <c r="H545" s="4" t="n">
        <f aca="false">IF(情景参数!E16="原表",驱动复算!W12,F545*情景参数!C16)</f>
        <v>272.7587101625</v>
      </c>
      <c r="I545" s="4" t="n">
        <f aca="false">IF(情景参数!E16="原表",驱动复算!U12,G545+H545)</f>
        <v>9055.0133511333</v>
      </c>
      <c r="J545" s="4" t="n">
        <f aca="false">(F545-I545)*(1-情景参数!F16)</f>
        <v>4582.92215699171</v>
      </c>
      <c r="K545" s="4" t="n">
        <f aca="false">偿债原表!C13</f>
        <v>0</v>
      </c>
      <c r="L545" s="4" t="n">
        <f aca="false">偿债原表!D13</f>
        <v>673.2</v>
      </c>
      <c r="M545" s="4" t="n">
        <f aca="false">K545+L545</f>
        <v>673.2</v>
      </c>
      <c r="N545" s="4" t="n">
        <f aca="false">J545-M545</f>
        <v>3909.72215699171</v>
      </c>
      <c r="O545" s="4" t="n">
        <f aca="false">O544+N545</f>
        <v>-3288.49989278478</v>
      </c>
      <c r="P545" s="4" t="n">
        <f aca="false">MAX(0,-(R544+N545))</f>
        <v>0</v>
      </c>
      <c r="Q545" s="4" t="n">
        <f aca="false">Q544+P545</f>
        <v>16744.6061</v>
      </c>
      <c r="R545" s="4" t="n">
        <f aca="false">O545+Q545</f>
        <v>13456.1062072152</v>
      </c>
    </row>
    <row r="546" customFormat="false" ht="15" hidden="false" customHeight="false" outlineLevel="0" collapsed="false">
      <c r="A546" s="2" t="s">
        <v>54</v>
      </c>
      <c r="B546" s="2" t="s">
        <v>39</v>
      </c>
      <c r="C546" s="12" t="n">
        <v>12</v>
      </c>
      <c r="D546" s="12" t="n">
        <v>2035</v>
      </c>
      <c r="E546" s="4" t="n">
        <f aca="false">INDEX(驱动复算!A13:X13,1,情景参数!B16)</f>
        <v>15029.637666875</v>
      </c>
      <c r="F546" s="4" t="n">
        <f aca="false">E546*(1-情景参数!D16)</f>
        <v>14278.1557835313</v>
      </c>
      <c r="G546" s="4" t="n">
        <f aca="false">IF(情景参数!E16="原表",驱动复算!U13-驱动复算!W13,驱动复算!P13)</f>
        <v>9045.72228019992</v>
      </c>
      <c r="H546" s="4" t="n">
        <f aca="false">IF(情景参数!E16="原表",驱动复算!W13,F546*情景参数!C16)</f>
        <v>285.563115670625</v>
      </c>
      <c r="I546" s="4" t="n">
        <f aca="false">IF(情景参数!E16="原表",驱动复算!U13,G546+H546)</f>
        <v>9331.28539587055</v>
      </c>
      <c r="J546" s="4" t="n">
        <f aca="false">(F546-I546)*(1-情景参数!F16)</f>
        <v>4946.87038766071</v>
      </c>
      <c r="K546" s="4" t="n">
        <f aca="false">偿债原表!C14</f>
        <v>0</v>
      </c>
      <c r="L546" s="4" t="n">
        <f aca="false">偿债原表!D14</f>
        <v>673.2</v>
      </c>
      <c r="M546" s="4" t="n">
        <f aca="false">K546+L546</f>
        <v>673.2</v>
      </c>
      <c r="N546" s="4" t="n">
        <f aca="false">J546-M546</f>
        <v>4273.67038766071</v>
      </c>
      <c r="O546" s="4" t="n">
        <f aca="false">O545+N546</f>
        <v>985.170494875924</v>
      </c>
      <c r="P546" s="4" t="n">
        <f aca="false">MAX(0,-(R545+N546))</f>
        <v>0</v>
      </c>
      <c r="Q546" s="4" t="n">
        <f aca="false">Q545+P546</f>
        <v>16744.6061</v>
      </c>
      <c r="R546" s="4" t="n">
        <f aca="false">O546+Q546</f>
        <v>17729.7765948759</v>
      </c>
    </row>
    <row r="547" customFormat="false" ht="15" hidden="false" customHeight="false" outlineLevel="0" collapsed="false">
      <c r="A547" s="2" t="s">
        <v>54</v>
      </c>
      <c r="B547" s="2" t="s">
        <v>39</v>
      </c>
      <c r="C547" s="12" t="n">
        <v>13</v>
      </c>
      <c r="D547" s="12" t="n">
        <v>2036</v>
      </c>
      <c r="E547" s="4" t="n">
        <f aca="false">INDEX(驱动复算!A14:X14,1,情景参数!B16)</f>
        <v>15737.2495502188</v>
      </c>
      <c r="F547" s="4" t="n">
        <f aca="false">E547*(1-情景参数!D16)</f>
        <v>14950.3870727078</v>
      </c>
      <c r="G547" s="4" t="n">
        <f aca="false">IF(情景参数!E16="原表",驱动复算!U14-驱动复算!W14,驱动复算!P14)</f>
        <v>9317.09394860592</v>
      </c>
      <c r="H547" s="4" t="n">
        <f aca="false">IF(情景参数!E16="原表",驱动复算!W14,F547*情景参数!C16)</f>
        <v>299.007741454156</v>
      </c>
      <c r="I547" s="4" t="n">
        <f aca="false">IF(情景参数!E16="原表",驱动复算!U14,G547+H547)</f>
        <v>9616.10169006007</v>
      </c>
      <c r="J547" s="4" t="n">
        <f aca="false">(F547-I547)*(1-情景参数!F16)</f>
        <v>5334.28538264775</v>
      </c>
      <c r="K547" s="4" t="n">
        <f aca="false">偿债原表!C15</f>
        <v>0</v>
      </c>
      <c r="L547" s="4" t="n">
        <f aca="false">偿债原表!D15</f>
        <v>673.2</v>
      </c>
      <c r="M547" s="4" t="n">
        <f aca="false">K547+L547</f>
        <v>673.2</v>
      </c>
      <c r="N547" s="4" t="n">
        <f aca="false">J547-M547</f>
        <v>4661.08538264775</v>
      </c>
      <c r="O547" s="4" t="n">
        <f aca="false">O546+N547</f>
        <v>5646.25587752367</v>
      </c>
      <c r="P547" s="4" t="n">
        <f aca="false">MAX(0,-(R546+N547))</f>
        <v>0</v>
      </c>
      <c r="Q547" s="4" t="n">
        <f aca="false">Q546+P547</f>
        <v>16744.6061</v>
      </c>
      <c r="R547" s="4" t="n">
        <f aca="false">O547+Q547</f>
        <v>22390.8619775237</v>
      </c>
    </row>
    <row r="548" customFormat="false" ht="15" hidden="false" customHeight="false" outlineLevel="0" collapsed="false">
      <c r="A548" s="2" t="s">
        <v>54</v>
      </c>
      <c r="B548" s="2" t="s">
        <v>39</v>
      </c>
      <c r="C548" s="12" t="n">
        <v>14</v>
      </c>
      <c r="D548" s="12" t="n">
        <v>2037</v>
      </c>
      <c r="E548" s="4" t="n">
        <f aca="false">INDEX(驱动复算!A15:X15,1,情景参数!B16)</f>
        <v>16480.2420277297</v>
      </c>
      <c r="F548" s="4" t="n">
        <f aca="false">E548*(1-情景参数!D16)</f>
        <v>15656.2299263432</v>
      </c>
      <c r="G548" s="4" t="n">
        <f aca="false">IF(情景参数!E16="原表",驱动复算!U15-驱动复算!W15,驱动复算!P15)</f>
        <v>9596.6067670641</v>
      </c>
      <c r="H548" s="4" t="n">
        <f aca="false">IF(情景参数!E16="原表",驱动复算!W15,F548*情景参数!C16)</f>
        <v>313.124598526864</v>
      </c>
      <c r="I548" s="4" t="n">
        <f aca="false">IF(情景参数!E16="原表",驱动复算!U15,G548+H548)</f>
        <v>9909.73136559096</v>
      </c>
      <c r="J548" s="4" t="n">
        <f aca="false">(F548-I548)*(1-情景参数!F16)</f>
        <v>5746.49856075225</v>
      </c>
      <c r="K548" s="4" t="n">
        <f aca="false">偿债原表!C16</f>
        <v>1000</v>
      </c>
      <c r="L548" s="4" t="n">
        <f aca="false">偿债原表!D16</f>
        <v>673.2</v>
      </c>
      <c r="M548" s="4" t="n">
        <f aca="false">K548+L548</f>
        <v>1673.2</v>
      </c>
      <c r="N548" s="4" t="n">
        <f aca="false">J548-M548</f>
        <v>4073.29856075225</v>
      </c>
      <c r="O548" s="4" t="n">
        <f aca="false">O547+N548</f>
        <v>9719.55443827593</v>
      </c>
      <c r="P548" s="4" t="n">
        <f aca="false">MAX(0,-(R547+N548))</f>
        <v>0</v>
      </c>
      <c r="Q548" s="4" t="n">
        <f aca="false">Q547+P548</f>
        <v>16744.6061</v>
      </c>
      <c r="R548" s="4" t="n">
        <f aca="false">O548+Q548</f>
        <v>26464.1605382759</v>
      </c>
    </row>
    <row r="549" customFormat="false" ht="15" hidden="false" customHeight="false" outlineLevel="0" collapsed="false">
      <c r="A549" s="2" t="s">
        <v>54</v>
      </c>
      <c r="B549" s="2" t="s">
        <v>39</v>
      </c>
      <c r="C549" s="12" t="n">
        <v>15</v>
      </c>
      <c r="D549" s="12" t="n">
        <v>2038</v>
      </c>
      <c r="E549" s="4" t="n">
        <f aca="false">INDEX(驱动复算!A16:X16,1,情景参数!B16)</f>
        <v>16821.7888682843</v>
      </c>
      <c r="F549" s="4" t="n">
        <f aca="false">E549*(1-情景参数!D16)</f>
        <v>15980.6994248701</v>
      </c>
      <c r="G549" s="4" t="n">
        <f aca="false">IF(情景参数!E16="原表",驱动复算!U16-驱动复算!W16,驱动复算!P16)</f>
        <v>9884.50497007602</v>
      </c>
      <c r="H549" s="4" t="n">
        <f aca="false">IF(情景参数!E16="原表",驱动复算!W16,F549*情景参数!C16)</f>
        <v>319.613988497401</v>
      </c>
      <c r="I549" s="4" t="n">
        <f aca="false">IF(情景参数!E16="原表",驱动复算!U16,G549+H549)</f>
        <v>10204.1189585734</v>
      </c>
      <c r="J549" s="4" t="n">
        <f aca="false">(F549-I549)*(1-情景参数!F16)</f>
        <v>5776.58046629665</v>
      </c>
      <c r="K549" s="4" t="n">
        <f aca="false">偿债原表!C17</f>
        <v>0</v>
      </c>
      <c r="L549" s="4" t="n">
        <f aca="false">偿债原表!D17</f>
        <v>644</v>
      </c>
      <c r="M549" s="4" t="n">
        <f aca="false">K549+L549</f>
        <v>644</v>
      </c>
      <c r="N549" s="4" t="n">
        <f aca="false">J549-M549</f>
        <v>5132.58046629665</v>
      </c>
      <c r="O549" s="4" t="n">
        <f aca="false">O548+N549</f>
        <v>14852.1349045726</v>
      </c>
      <c r="P549" s="4" t="n">
        <f aca="false">MAX(0,-(R548+N549))</f>
        <v>0</v>
      </c>
      <c r="Q549" s="4" t="n">
        <f aca="false">Q548+P549</f>
        <v>16744.6061</v>
      </c>
      <c r="R549" s="4" t="n">
        <f aca="false">O549+Q549</f>
        <v>31596.7410045726</v>
      </c>
    </row>
    <row r="550" customFormat="false" ht="15" hidden="false" customHeight="false" outlineLevel="0" collapsed="false">
      <c r="A550" s="2" t="s">
        <v>54</v>
      </c>
      <c r="B550" s="2" t="s">
        <v>39</v>
      </c>
      <c r="C550" s="12" t="n">
        <v>16</v>
      </c>
      <c r="D550" s="12" t="n">
        <v>2039</v>
      </c>
      <c r="E550" s="4" t="n">
        <f aca="false">INDEX(驱动复算!A17:X17,1,情景参数!B16)</f>
        <v>17140.08684565</v>
      </c>
      <c r="F550" s="4" t="n">
        <f aca="false">E550*(1-情景参数!D16)</f>
        <v>16283.0825033675</v>
      </c>
      <c r="G550" s="4" t="n">
        <f aca="false">IF(情景参数!E16="原表",驱动复算!U17-驱动复算!W17,驱动复算!P17)</f>
        <v>10181.0401191783</v>
      </c>
      <c r="H550" s="4" t="n">
        <f aca="false">IF(情景参数!E16="原表",驱动复算!W17,F550*情景参数!C16)</f>
        <v>325.66165006735</v>
      </c>
      <c r="I550" s="4" t="n">
        <f aca="false">IF(情景参数!E16="原表",驱动复算!U17,G550+H550)</f>
        <v>10506.7017692457</v>
      </c>
      <c r="J550" s="4" t="n">
        <f aca="false">(F550-I550)*(1-情景参数!F16)</f>
        <v>5776.38073412183</v>
      </c>
      <c r="K550" s="4" t="n">
        <f aca="false">偿债原表!C18</f>
        <v>0</v>
      </c>
      <c r="L550" s="4" t="n">
        <f aca="false">偿债原表!D18</f>
        <v>644</v>
      </c>
      <c r="M550" s="4" t="n">
        <f aca="false">K550+L550</f>
        <v>644</v>
      </c>
      <c r="N550" s="4" t="n">
        <f aca="false">J550-M550</f>
        <v>5132.38073412183</v>
      </c>
      <c r="O550" s="4" t="n">
        <f aca="false">O549+N550</f>
        <v>19984.5156386944</v>
      </c>
      <c r="P550" s="4" t="n">
        <f aca="false">MAX(0,-(R549+N550))</f>
        <v>0</v>
      </c>
      <c r="Q550" s="4" t="n">
        <f aca="false">Q549+P550</f>
        <v>16744.6061</v>
      </c>
      <c r="R550" s="4" t="n">
        <f aca="false">O550+Q550</f>
        <v>36729.1217386944</v>
      </c>
    </row>
    <row r="551" customFormat="false" ht="15" hidden="false" customHeight="false" outlineLevel="0" collapsed="false">
      <c r="A551" s="2" t="s">
        <v>54</v>
      </c>
      <c r="B551" s="2" t="s">
        <v>39</v>
      </c>
      <c r="C551" s="12" t="n">
        <v>17</v>
      </c>
      <c r="D551" s="12" t="n">
        <v>2040</v>
      </c>
      <c r="E551" s="4" t="n">
        <f aca="false">INDEX(驱动复算!A18:X18,1,情景参数!B16)</f>
        <v>17464.750782563</v>
      </c>
      <c r="F551" s="4" t="n">
        <f aca="false">E551*(1-情景参数!D16)</f>
        <v>16591.5132434348</v>
      </c>
      <c r="G551" s="4" t="n">
        <f aca="false">IF(情景参数!E16="原表",驱动复算!U18-驱动复算!W18,驱动复算!P18)</f>
        <v>10486.4713227536</v>
      </c>
      <c r="H551" s="4" t="n">
        <f aca="false">IF(情景参数!E16="原表",驱动复算!W18,F551*情景参数!C16)</f>
        <v>331.830264868697</v>
      </c>
      <c r="I551" s="4" t="n">
        <f aca="false">IF(情景参数!E16="原表",驱动复算!U18,G551+H551)</f>
        <v>10818.3015876223</v>
      </c>
      <c r="J551" s="4" t="n">
        <f aca="false">(F551-I551)*(1-情景参数!F16)</f>
        <v>5773.21165581249</v>
      </c>
      <c r="K551" s="4" t="n">
        <f aca="false">偿债原表!C19</f>
        <v>0</v>
      </c>
      <c r="L551" s="4" t="n">
        <f aca="false">偿债原表!D19</f>
        <v>644</v>
      </c>
      <c r="M551" s="4" t="n">
        <f aca="false">K551+L551</f>
        <v>644</v>
      </c>
      <c r="N551" s="4" t="n">
        <f aca="false">J551-M551</f>
        <v>5129.21165581249</v>
      </c>
      <c r="O551" s="4" t="n">
        <f aca="false">O550+N551</f>
        <v>25113.7272945069</v>
      </c>
      <c r="P551" s="4" t="n">
        <f aca="false">MAX(0,-(R550+N551))</f>
        <v>0</v>
      </c>
      <c r="Q551" s="4" t="n">
        <f aca="false">Q550+P551</f>
        <v>16744.6061</v>
      </c>
      <c r="R551" s="4" t="n">
        <f aca="false">O551+Q551</f>
        <v>41858.3333945069</v>
      </c>
    </row>
    <row r="552" customFormat="false" ht="15" hidden="false" customHeight="false" outlineLevel="0" collapsed="false">
      <c r="A552" s="2" t="s">
        <v>54</v>
      </c>
      <c r="B552" s="2" t="s">
        <v>39</v>
      </c>
      <c r="C552" s="12" t="n">
        <v>18</v>
      </c>
      <c r="D552" s="12" t="n">
        <v>2041</v>
      </c>
      <c r="E552" s="4" t="n">
        <f aca="false">INDEX(驱动复算!A19:X19,1,情景参数!B16)</f>
        <v>17795.9079982142</v>
      </c>
      <c r="F552" s="4" t="n">
        <f aca="false">E552*(1-情景参数!D16)</f>
        <v>16906.1125983035</v>
      </c>
      <c r="G552" s="4" t="n">
        <f aca="false">IF(情景参数!E16="原表",驱动复算!U19-驱动复算!W19,驱动复算!P19)</f>
        <v>10801.0654624363</v>
      </c>
      <c r="H552" s="4" t="n">
        <f aca="false">IF(情景参数!E16="原表",驱动复算!W19,F552*情景参数!C16)</f>
        <v>338.12225196607</v>
      </c>
      <c r="I552" s="4" t="n">
        <f aca="false">IF(情景参数!E16="原表",驱动复算!U19,G552+H552)</f>
        <v>11139.1877144023</v>
      </c>
      <c r="J552" s="4" t="n">
        <f aca="false">(F552-I552)*(1-情景参数!F16)</f>
        <v>5766.92488390119</v>
      </c>
      <c r="K552" s="4" t="n">
        <f aca="false">偿债原表!C20</f>
        <v>20000</v>
      </c>
      <c r="L552" s="4" t="n">
        <f aca="false">偿债原表!D20</f>
        <v>644</v>
      </c>
      <c r="M552" s="4" t="n">
        <f aca="false">K552+L552</f>
        <v>20644</v>
      </c>
      <c r="N552" s="4" t="n">
        <f aca="false">J552-M552</f>
        <v>-14877.0751160988</v>
      </c>
      <c r="O552" s="4" t="n">
        <f aca="false">O551+N552</f>
        <v>10236.6521784081</v>
      </c>
      <c r="P552" s="4" t="n">
        <f aca="false">MAX(0,-(R551+N552))</f>
        <v>0</v>
      </c>
      <c r="Q552" s="4" t="n">
        <f aca="false">Q551+P552</f>
        <v>16744.6061</v>
      </c>
      <c r="R552" s="4" t="n">
        <f aca="false">O552+Q552</f>
        <v>26981.2582784081</v>
      </c>
    </row>
    <row r="553" customFormat="false" ht="15" hidden="false" customHeight="false" outlineLevel="0" collapsed="false">
      <c r="A553" s="2" t="s">
        <v>54</v>
      </c>
      <c r="B553" s="2" t="s">
        <v>40</v>
      </c>
      <c r="C553" s="12" t="n">
        <v>0</v>
      </c>
      <c r="D553" s="13" t="s">
        <v>248</v>
      </c>
      <c r="E553" s="4" t="n">
        <f aca="false">0</f>
        <v>0</v>
      </c>
      <c r="F553" s="4" t="n">
        <f aca="false">E553*(1-情景参数!D16)</f>
        <v>0</v>
      </c>
      <c r="G553" s="4" t="n">
        <f aca="false">0</f>
        <v>0</v>
      </c>
      <c r="H553" s="4" t="n">
        <f aca="false">0</f>
        <v>0</v>
      </c>
      <c r="I553" s="4" t="n">
        <f aca="false">0</f>
        <v>0</v>
      </c>
      <c r="J553" s="4" t="n">
        <f aca="false">(F553-I553)*(1-情景参数!F16)</f>
        <v>0</v>
      </c>
      <c r="K553" s="4" t="n">
        <f aca="false">偿债原表!F2</f>
        <v>0</v>
      </c>
      <c r="L553" s="4" t="n">
        <f aca="false">偿债原表!G2</f>
        <v>1374.2</v>
      </c>
      <c r="M553" s="4" t="n">
        <f aca="false">K553+L553</f>
        <v>1374.2</v>
      </c>
      <c r="N553" s="4" t="n">
        <f aca="false">J553-M553</f>
        <v>-1374.2</v>
      </c>
      <c r="O553" s="4" t="n">
        <f aca="false">N553</f>
        <v>-1374.2</v>
      </c>
      <c r="P553" s="4" t="n">
        <f aca="false">MAX(0,-N553)</f>
        <v>1374.2</v>
      </c>
      <c r="Q553" s="4" t="n">
        <f aca="false">P553</f>
        <v>1374.2</v>
      </c>
      <c r="R553" s="4" t="n">
        <f aca="false">O553+Q553</f>
        <v>0</v>
      </c>
    </row>
    <row r="554" customFormat="false" ht="15" hidden="false" customHeight="false" outlineLevel="0" collapsed="false">
      <c r="A554" s="2" t="s">
        <v>54</v>
      </c>
      <c r="B554" s="2" t="s">
        <v>40</v>
      </c>
      <c r="C554" s="12" t="n">
        <v>1</v>
      </c>
      <c r="D554" s="12" t="n">
        <v>2024</v>
      </c>
      <c r="E554" s="4" t="n">
        <f aca="false">INDEX(驱动复算!A2:X2,1,情景参数!B16)</f>
        <v>0</v>
      </c>
      <c r="F554" s="4" t="n">
        <f aca="false">E554*(1-情景参数!D16)</f>
        <v>0</v>
      </c>
      <c r="G554" s="4" t="n">
        <f aca="false">IF(情景参数!E16="原表",驱动复算!U2-驱动复算!W2,驱动复算!P2)</f>
        <v>0</v>
      </c>
      <c r="H554" s="4" t="n">
        <f aca="false">IF(情景参数!E16="原表",驱动复算!W2,F554*情景参数!C16)</f>
        <v>0</v>
      </c>
      <c r="I554" s="4" t="n">
        <f aca="false">IF(情景参数!E16="原表",驱动复算!U2,G554+H554)</f>
        <v>0</v>
      </c>
      <c r="J554" s="4" t="n">
        <f aca="false">(F554-I554)*(1-情景参数!F16)</f>
        <v>0</v>
      </c>
      <c r="K554" s="4" t="n">
        <f aca="false">偿债原表!F3</f>
        <v>0</v>
      </c>
      <c r="L554" s="4" t="n">
        <f aca="false">偿债原表!G3</f>
        <v>1107.58</v>
      </c>
      <c r="M554" s="4" t="n">
        <f aca="false">K554+L554</f>
        <v>1107.58</v>
      </c>
      <c r="N554" s="4" t="n">
        <f aca="false">J554-M554</f>
        <v>-1107.58</v>
      </c>
      <c r="O554" s="4" t="n">
        <f aca="false">O553+N554</f>
        <v>-2481.78</v>
      </c>
      <c r="P554" s="4" t="n">
        <f aca="false">MAX(0,-(R553+N554))</f>
        <v>1107.58</v>
      </c>
      <c r="Q554" s="4" t="n">
        <f aca="false">Q553+P554</f>
        <v>2481.78</v>
      </c>
      <c r="R554" s="4" t="n">
        <f aca="false">O554+Q554</f>
        <v>0</v>
      </c>
    </row>
    <row r="555" customFormat="false" ht="15" hidden="false" customHeight="false" outlineLevel="0" collapsed="false">
      <c r="A555" s="2" t="s">
        <v>54</v>
      </c>
      <c r="B555" s="2" t="s">
        <v>40</v>
      </c>
      <c r="C555" s="12" t="n">
        <v>2</v>
      </c>
      <c r="D555" s="12" t="n">
        <v>2025</v>
      </c>
      <c r="E555" s="4" t="n">
        <f aca="false">INDEX(驱动复算!A3:X3,1,情景参数!B16)</f>
        <v>0</v>
      </c>
      <c r="F555" s="4" t="n">
        <f aca="false">E555*(1-情景参数!D16)</f>
        <v>0</v>
      </c>
      <c r="G555" s="4" t="n">
        <f aca="false">IF(情景参数!E16="原表",驱动复算!U3-驱动复算!W3,驱动复算!P3)</f>
        <v>0</v>
      </c>
      <c r="H555" s="4" t="n">
        <f aca="false">IF(情景参数!E16="原表",驱动复算!W3,F555*情景参数!C16)</f>
        <v>0</v>
      </c>
      <c r="I555" s="4" t="n">
        <f aca="false">IF(情景参数!E16="原表",驱动复算!U3,G555+H555)</f>
        <v>0</v>
      </c>
      <c r="J555" s="4" t="n">
        <f aca="false">(F555-I555)*(1-情景参数!F16)</f>
        <v>0</v>
      </c>
      <c r="K555" s="4" t="n">
        <f aca="false">偿债原表!F4</f>
        <v>0</v>
      </c>
      <c r="L555" s="4" t="n">
        <f aca="false">偿债原表!G4</f>
        <v>1107.58</v>
      </c>
      <c r="M555" s="4" t="n">
        <f aca="false">K555+L555</f>
        <v>1107.58</v>
      </c>
      <c r="N555" s="4" t="n">
        <f aca="false">J555-M555</f>
        <v>-1107.58</v>
      </c>
      <c r="O555" s="4" t="n">
        <f aca="false">O554+N555</f>
        <v>-3589.36</v>
      </c>
      <c r="P555" s="4" t="n">
        <f aca="false">MAX(0,-(R554+N555))</f>
        <v>1107.58</v>
      </c>
      <c r="Q555" s="4" t="n">
        <f aca="false">Q554+P555</f>
        <v>3589.36</v>
      </c>
      <c r="R555" s="4" t="n">
        <f aca="false">O555+Q555</f>
        <v>0</v>
      </c>
    </row>
    <row r="556" customFormat="false" ht="15" hidden="false" customHeight="false" outlineLevel="0" collapsed="false">
      <c r="A556" s="2" t="s">
        <v>54</v>
      </c>
      <c r="B556" s="2" t="s">
        <v>40</v>
      </c>
      <c r="C556" s="12" t="n">
        <v>3</v>
      </c>
      <c r="D556" s="12" t="n">
        <v>2026</v>
      </c>
      <c r="E556" s="4" t="n">
        <f aca="false">INDEX(驱动复算!A4:X4,1,情景参数!B16)</f>
        <v>0</v>
      </c>
      <c r="F556" s="4" t="n">
        <f aca="false">E556*(1-情景参数!D16)</f>
        <v>0</v>
      </c>
      <c r="G556" s="4" t="n">
        <f aca="false">IF(情景参数!E16="原表",驱动复算!U4-驱动复算!W4,驱动复算!P4)</f>
        <v>0</v>
      </c>
      <c r="H556" s="4" t="n">
        <f aca="false">IF(情景参数!E16="原表",驱动复算!W4,F556*情景参数!C16)</f>
        <v>0</v>
      </c>
      <c r="I556" s="4" t="n">
        <f aca="false">IF(情景参数!E16="原表",驱动复算!U4,G556+H556)</f>
        <v>0</v>
      </c>
      <c r="J556" s="4" t="n">
        <f aca="false">(F556-I556)*(1-情景参数!F16)</f>
        <v>0</v>
      </c>
      <c r="K556" s="4" t="n">
        <f aca="false">偿债原表!F5</f>
        <v>0</v>
      </c>
      <c r="L556" s="4" t="n">
        <f aca="false">偿债原表!G5</f>
        <v>1107.58</v>
      </c>
      <c r="M556" s="4" t="n">
        <f aca="false">K556+L556</f>
        <v>1107.58</v>
      </c>
      <c r="N556" s="4" t="n">
        <f aca="false">J556-M556</f>
        <v>-1107.58</v>
      </c>
      <c r="O556" s="4" t="n">
        <f aca="false">O555+N556</f>
        <v>-4696.94</v>
      </c>
      <c r="P556" s="4" t="n">
        <f aca="false">MAX(0,-(R555+N556))</f>
        <v>1107.58</v>
      </c>
      <c r="Q556" s="4" t="n">
        <f aca="false">Q555+P556</f>
        <v>4696.94</v>
      </c>
      <c r="R556" s="4" t="n">
        <f aca="false">O556+Q556</f>
        <v>0</v>
      </c>
    </row>
    <row r="557" customFormat="false" ht="15" hidden="false" customHeight="false" outlineLevel="0" collapsed="false">
      <c r="A557" s="2" t="s">
        <v>54</v>
      </c>
      <c r="B557" s="2" t="s">
        <v>40</v>
      </c>
      <c r="C557" s="12" t="n">
        <v>4</v>
      </c>
      <c r="D557" s="12" t="n">
        <v>2027</v>
      </c>
      <c r="E557" s="4" t="n">
        <f aca="false">INDEX(驱动复算!A5:X5,1,情景参数!B16)</f>
        <v>0</v>
      </c>
      <c r="F557" s="4" t="n">
        <f aca="false">E557*(1-情景参数!D16)</f>
        <v>0</v>
      </c>
      <c r="G557" s="4" t="n">
        <f aca="false">IF(情景参数!E16="原表",驱动复算!U5-驱动复算!W5,驱动复算!P5)</f>
        <v>0</v>
      </c>
      <c r="H557" s="4" t="n">
        <f aca="false">IF(情景参数!E16="原表",驱动复算!W5,F557*情景参数!C16)</f>
        <v>0</v>
      </c>
      <c r="I557" s="4" t="n">
        <f aca="false">IF(情景参数!E16="原表",驱动复算!U5,G557+H557)</f>
        <v>0</v>
      </c>
      <c r="J557" s="4" t="n">
        <f aca="false">(F557-I557)*(1-情景参数!F16)</f>
        <v>0</v>
      </c>
      <c r="K557" s="4" t="n">
        <f aca="false">偿债原表!F6</f>
        <v>0</v>
      </c>
      <c r="L557" s="4" t="n">
        <f aca="false">偿债原表!G6</f>
        <v>1107.58</v>
      </c>
      <c r="M557" s="4" t="n">
        <f aca="false">K557+L557</f>
        <v>1107.58</v>
      </c>
      <c r="N557" s="4" t="n">
        <f aca="false">J557-M557</f>
        <v>-1107.58</v>
      </c>
      <c r="O557" s="4" t="n">
        <f aca="false">O556+N557</f>
        <v>-5804.52</v>
      </c>
      <c r="P557" s="4" t="n">
        <f aca="false">MAX(0,-(R556+N557))</f>
        <v>1107.58</v>
      </c>
      <c r="Q557" s="4" t="n">
        <f aca="false">Q556+P557</f>
        <v>5804.52</v>
      </c>
      <c r="R557" s="4" t="n">
        <f aca="false">O557+Q557</f>
        <v>0</v>
      </c>
    </row>
    <row r="558" customFormat="false" ht="15" hidden="false" customHeight="false" outlineLevel="0" collapsed="false">
      <c r="A558" s="2" t="s">
        <v>54</v>
      </c>
      <c r="B558" s="2" t="s">
        <v>40</v>
      </c>
      <c r="C558" s="12" t="n">
        <v>5</v>
      </c>
      <c r="D558" s="12" t="n">
        <v>2028</v>
      </c>
      <c r="E558" s="4" t="n">
        <f aca="false">INDEX(驱动复算!A6:X6,1,情景参数!B16)</f>
        <v>9076.9</v>
      </c>
      <c r="F558" s="4" t="n">
        <f aca="false">E558*(1-情景参数!D16)</f>
        <v>8623.055</v>
      </c>
      <c r="G558" s="4" t="n">
        <f aca="false">IF(情景参数!E16="原表",驱动复算!U6-驱动复算!W6,驱动复算!P6)</f>
        <v>7355</v>
      </c>
      <c r="H558" s="4" t="n">
        <f aca="false">IF(情景参数!E16="原表",驱动复算!W6,F558*情景参数!C16)</f>
        <v>172.4611</v>
      </c>
      <c r="I558" s="4" t="n">
        <f aca="false">IF(情景参数!E16="原表",驱动复算!U6,G558+H558)</f>
        <v>7527.4611</v>
      </c>
      <c r="J558" s="4" t="n">
        <f aca="false">(F558-I558)*(1-情景参数!F16)</f>
        <v>1095.5939</v>
      </c>
      <c r="K558" s="4" t="n">
        <f aca="false">偿债原表!F7</f>
        <v>1400</v>
      </c>
      <c r="L558" s="4" t="n">
        <f aca="false">偿债原表!G7</f>
        <v>1107.58</v>
      </c>
      <c r="M558" s="4" t="n">
        <f aca="false">K558+L558</f>
        <v>2507.58</v>
      </c>
      <c r="N558" s="4" t="n">
        <f aca="false">J558-M558</f>
        <v>-1411.9861</v>
      </c>
      <c r="O558" s="4" t="n">
        <f aca="false">O557+N558</f>
        <v>-7216.5061</v>
      </c>
      <c r="P558" s="4" t="n">
        <f aca="false">MAX(0,-(R557+N558))</f>
        <v>1411.9861</v>
      </c>
      <c r="Q558" s="4" t="n">
        <f aca="false">Q557+P558</f>
        <v>7216.5061</v>
      </c>
      <c r="R558" s="4" t="n">
        <f aca="false">O558+Q558</f>
        <v>0</v>
      </c>
    </row>
    <row r="559" customFormat="false" ht="15" hidden="false" customHeight="false" outlineLevel="0" collapsed="false">
      <c r="A559" s="2" t="s">
        <v>54</v>
      </c>
      <c r="B559" s="2" t="s">
        <v>40</v>
      </c>
      <c r="C559" s="12" t="n">
        <v>6</v>
      </c>
      <c r="D559" s="12" t="n">
        <v>2029</v>
      </c>
      <c r="E559" s="4" t="n">
        <f aca="false">INDEX(驱动复算!A7:X7,1,情景参数!B16)</f>
        <v>9965.51</v>
      </c>
      <c r="F559" s="4" t="n">
        <f aca="false">E559*(1-情景参数!D16)</f>
        <v>9467.2345</v>
      </c>
      <c r="G559" s="4" t="n">
        <f aca="false">IF(情景参数!E16="原表",驱动复算!U7-驱动复算!W7,驱动复算!P7)</f>
        <v>7575.65</v>
      </c>
      <c r="H559" s="4" t="n">
        <f aca="false">IF(情景参数!E16="原表",驱动复算!W7,F559*情景参数!C16)</f>
        <v>189.34469</v>
      </c>
      <c r="I559" s="4" t="n">
        <f aca="false">IF(情景参数!E16="原表",驱动复算!U7,G559+H559)</f>
        <v>7764.99469</v>
      </c>
      <c r="J559" s="4" t="n">
        <f aca="false">(F559-I559)*(1-情景参数!F16)</f>
        <v>1702.23981</v>
      </c>
      <c r="K559" s="4" t="n">
        <f aca="false">偿债原表!F8</f>
        <v>0</v>
      </c>
      <c r="L559" s="4" t="n">
        <f aca="false">偿债原表!G8</f>
        <v>1075.8</v>
      </c>
      <c r="M559" s="4" t="n">
        <f aca="false">K559+L559</f>
        <v>1075.8</v>
      </c>
      <c r="N559" s="4" t="n">
        <f aca="false">J559-M559</f>
        <v>626.439809999998</v>
      </c>
      <c r="O559" s="4" t="n">
        <f aca="false">O558+N559</f>
        <v>-6590.06629</v>
      </c>
      <c r="P559" s="4" t="n">
        <f aca="false">MAX(0,-(R558+N559))</f>
        <v>0</v>
      </c>
      <c r="Q559" s="4" t="n">
        <f aca="false">Q558+P559</f>
        <v>7216.5061</v>
      </c>
      <c r="R559" s="4" t="n">
        <f aca="false">O559+Q559</f>
        <v>626.439809999998</v>
      </c>
    </row>
    <row r="560" customFormat="false" ht="15" hidden="false" customHeight="false" outlineLevel="0" collapsed="false">
      <c r="A560" s="2" t="s">
        <v>54</v>
      </c>
      <c r="B560" s="2" t="s">
        <v>40</v>
      </c>
      <c r="C560" s="12" t="n">
        <v>7</v>
      </c>
      <c r="D560" s="12" t="n">
        <v>2030</v>
      </c>
      <c r="E560" s="4" t="n">
        <f aca="false">INDEX(驱动复算!A8:X8,1,情景参数!B16)</f>
        <v>10884.01</v>
      </c>
      <c r="F560" s="4" t="n">
        <f aca="false">E560*(1-情景参数!D16)</f>
        <v>10339.8095</v>
      </c>
      <c r="G560" s="4" t="n">
        <f aca="false">IF(情景参数!E16="原表",驱动复算!U8-驱动复算!W8,驱动复算!P8)</f>
        <v>7802.9195</v>
      </c>
      <c r="H560" s="4" t="n">
        <f aca="false">IF(情景参数!E16="原表",驱动复算!W8,F560*情景参数!C16)</f>
        <v>206.79619</v>
      </c>
      <c r="I560" s="4" t="n">
        <f aca="false">IF(情景参数!E16="原表",驱动复算!U8,G560+H560)</f>
        <v>8009.71569</v>
      </c>
      <c r="J560" s="4" t="n">
        <f aca="false">(F560-I560)*(1-情景参数!F16)</f>
        <v>2330.09381</v>
      </c>
      <c r="K560" s="4" t="n">
        <f aca="false">偿债原表!F9</f>
        <v>0</v>
      </c>
      <c r="L560" s="4" t="n">
        <f aca="false">偿债原表!G9</f>
        <v>1075.8</v>
      </c>
      <c r="M560" s="4" t="n">
        <f aca="false">K560+L560</f>
        <v>1075.8</v>
      </c>
      <c r="N560" s="4" t="n">
        <f aca="false">J560-M560</f>
        <v>1254.29381</v>
      </c>
      <c r="O560" s="4" t="n">
        <f aca="false">O559+N560</f>
        <v>-5335.77248</v>
      </c>
      <c r="P560" s="4" t="n">
        <f aca="false">MAX(0,-(R559+N560))</f>
        <v>0</v>
      </c>
      <c r="Q560" s="4" t="n">
        <f aca="false">Q559+P560</f>
        <v>7216.5061</v>
      </c>
      <c r="R560" s="4" t="n">
        <f aca="false">O560+Q560</f>
        <v>1880.73362</v>
      </c>
    </row>
    <row r="561" customFormat="false" ht="15" hidden="false" customHeight="false" outlineLevel="0" collapsed="false">
      <c r="A561" s="2" t="s">
        <v>54</v>
      </c>
      <c r="B561" s="2" t="s">
        <v>40</v>
      </c>
      <c r="C561" s="12" t="n">
        <v>8</v>
      </c>
      <c r="D561" s="12" t="n">
        <v>2031</v>
      </c>
      <c r="E561" s="4" t="n">
        <f aca="false">INDEX(驱动复算!A9:X9,1,情景参数!B16)</f>
        <v>11894.36</v>
      </c>
      <c r="F561" s="4" t="n">
        <f aca="false">E561*(1-情景参数!D16)</f>
        <v>11299.642</v>
      </c>
      <c r="G561" s="4" t="n">
        <f aca="false">IF(情景参数!E16="原表",驱动复算!U9-驱动复算!W9,驱动复算!P9)</f>
        <v>8037.007085</v>
      </c>
      <c r="H561" s="4" t="n">
        <f aca="false">IF(情景参数!E16="原表",驱动复算!W9,F561*情景参数!C16)</f>
        <v>225.99284</v>
      </c>
      <c r="I561" s="4" t="n">
        <f aca="false">IF(情景参数!E16="原表",驱动复算!U9,G561+H561)</f>
        <v>8262.999925</v>
      </c>
      <c r="J561" s="4" t="n">
        <f aca="false">(F561-I561)*(1-情景参数!F16)</f>
        <v>3036.642075</v>
      </c>
      <c r="K561" s="4" t="n">
        <f aca="false">偿债原表!F10</f>
        <v>0</v>
      </c>
      <c r="L561" s="4" t="n">
        <f aca="false">偿债原表!G10</f>
        <v>1075.8</v>
      </c>
      <c r="M561" s="4" t="n">
        <f aca="false">K561+L561</f>
        <v>1075.8</v>
      </c>
      <c r="N561" s="4" t="n">
        <f aca="false">J561-M561</f>
        <v>1960.842075</v>
      </c>
      <c r="O561" s="4" t="n">
        <f aca="false">O560+N561</f>
        <v>-3374.930405</v>
      </c>
      <c r="P561" s="4" t="n">
        <f aca="false">MAX(0,-(R560+N561))</f>
        <v>0</v>
      </c>
      <c r="Q561" s="4" t="n">
        <f aca="false">Q560+P561</f>
        <v>7216.5061</v>
      </c>
      <c r="R561" s="4" t="n">
        <f aca="false">O561+Q561</f>
        <v>3841.575695</v>
      </c>
    </row>
    <row r="562" customFormat="false" ht="15" hidden="false" customHeight="false" outlineLevel="0" collapsed="false">
      <c r="A562" s="2" t="s">
        <v>54</v>
      </c>
      <c r="B562" s="2" t="s">
        <v>40</v>
      </c>
      <c r="C562" s="12" t="n">
        <v>9</v>
      </c>
      <c r="D562" s="12" t="n">
        <v>2032</v>
      </c>
      <c r="E562" s="4" t="n">
        <f aca="false">INDEX(驱动复算!A10:X10,1,情景参数!B16)</f>
        <v>13005.745</v>
      </c>
      <c r="F562" s="4" t="n">
        <f aca="false">E562*(1-情景参数!D16)</f>
        <v>12355.45775</v>
      </c>
      <c r="G562" s="4" t="n">
        <f aca="false">IF(情景参数!E16="原表",驱动复算!U10-驱动复算!W10,驱动复算!P10)</f>
        <v>8278.11729755</v>
      </c>
      <c r="H562" s="4" t="n">
        <f aca="false">IF(情景参数!E16="原表",驱动复算!W10,F562*情景参数!C16)</f>
        <v>247.109155</v>
      </c>
      <c r="I562" s="4" t="n">
        <f aca="false">IF(情景参数!E16="原表",驱动复算!U10,G562+H562)</f>
        <v>8525.22645255</v>
      </c>
      <c r="J562" s="4" t="n">
        <f aca="false">(F562-I562)*(1-情景参数!F16)</f>
        <v>3830.23129745</v>
      </c>
      <c r="K562" s="4" t="n">
        <f aca="false">偿债原表!F11</f>
        <v>2000</v>
      </c>
      <c r="L562" s="4" t="n">
        <f aca="false">偿债原表!G11</f>
        <v>1075.8</v>
      </c>
      <c r="M562" s="4" t="n">
        <f aca="false">K562+L562</f>
        <v>3075.8</v>
      </c>
      <c r="N562" s="4" t="n">
        <f aca="false">J562-M562</f>
        <v>754.43129745</v>
      </c>
      <c r="O562" s="4" t="n">
        <f aca="false">O561+N562</f>
        <v>-2620.49910755</v>
      </c>
      <c r="P562" s="4" t="n">
        <f aca="false">MAX(0,-(R561+N562))</f>
        <v>0</v>
      </c>
      <c r="Q562" s="4" t="n">
        <f aca="false">Q561+P562</f>
        <v>7216.5061</v>
      </c>
      <c r="R562" s="4" t="n">
        <f aca="false">O562+Q562</f>
        <v>4596.00699245</v>
      </c>
    </row>
    <row r="563" customFormat="false" ht="15" hidden="false" customHeight="false" outlineLevel="0" collapsed="false">
      <c r="A563" s="2" t="s">
        <v>54</v>
      </c>
      <c r="B563" s="2" t="s">
        <v>40</v>
      </c>
      <c r="C563" s="12" t="n">
        <v>10</v>
      </c>
      <c r="D563" s="12" t="n">
        <v>2033</v>
      </c>
      <c r="E563" s="4" t="n">
        <f aca="false">INDEX(驱动复算!A11:X11,1,情景参数!B16)</f>
        <v>13713.89675</v>
      </c>
      <c r="F563" s="4" t="n">
        <f aca="false">E563*(1-情景参数!D16)</f>
        <v>13028.2019125</v>
      </c>
      <c r="G563" s="4" t="n">
        <f aca="false">IF(情景参数!E16="原表",驱动复算!U11-驱动复算!W11,驱动复算!P11)</f>
        <v>8526.4608164765</v>
      </c>
      <c r="H563" s="4" t="n">
        <f aca="false">IF(情景参数!E16="原表",驱动复算!W11,F563*情景参数!C16)</f>
        <v>260.56403825</v>
      </c>
      <c r="I563" s="4" t="n">
        <f aca="false">IF(情景参数!E16="原表",驱动复算!U11,G563+H563)</f>
        <v>8787.0248547265</v>
      </c>
      <c r="J563" s="4" t="n">
        <f aca="false">(F563-I563)*(1-情景参数!F16)</f>
        <v>4241.1770577735</v>
      </c>
      <c r="K563" s="4" t="n">
        <f aca="false">偿债原表!F12</f>
        <v>9600</v>
      </c>
      <c r="L563" s="4" t="n">
        <f aca="false">偿债原表!G12</f>
        <v>1018.8</v>
      </c>
      <c r="M563" s="4" t="n">
        <f aca="false">K563+L563</f>
        <v>10618.8</v>
      </c>
      <c r="N563" s="4" t="n">
        <f aca="false">J563-M563</f>
        <v>-6377.6229422265</v>
      </c>
      <c r="O563" s="4" t="n">
        <f aca="false">O562+N563</f>
        <v>-8998.1220497765</v>
      </c>
      <c r="P563" s="4" t="n">
        <f aca="false">MAX(0,-(R562+N563))</f>
        <v>1781.6159497765</v>
      </c>
      <c r="Q563" s="4" t="n">
        <f aca="false">Q562+P563</f>
        <v>8998.1220497765</v>
      </c>
      <c r="R563" s="4" t="n">
        <f aca="false">O563+Q563</f>
        <v>0</v>
      </c>
    </row>
    <row r="564" customFormat="false" ht="15" hidden="false" customHeight="false" outlineLevel="0" collapsed="false">
      <c r="A564" s="2" t="s">
        <v>54</v>
      </c>
      <c r="B564" s="2" t="s">
        <v>40</v>
      </c>
      <c r="C564" s="12" t="n">
        <v>11</v>
      </c>
      <c r="D564" s="12" t="n">
        <v>2034</v>
      </c>
      <c r="E564" s="4" t="n">
        <f aca="false">INDEX(驱动复算!A12:X12,1,情景参数!B16)</f>
        <v>14355.7215875</v>
      </c>
      <c r="F564" s="4" t="n">
        <f aca="false">E564*(1-情景参数!D16)</f>
        <v>13637.935508125</v>
      </c>
      <c r="G564" s="4" t="n">
        <f aca="false">IF(情景参数!E16="原表",驱动复算!U12-驱动复算!W12,驱动复算!P12)</f>
        <v>8782.2546409708</v>
      </c>
      <c r="H564" s="4" t="n">
        <f aca="false">IF(情景参数!E16="原表",驱动复算!W12,F564*情景参数!C16)</f>
        <v>272.7587101625</v>
      </c>
      <c r="I564" s="4" t="n">
        <f aca="false">IF(情景参数!E16="原表",驱动复算!U12,G564+H564)</f>
        <v>9055.0133511333</v>
      </c>
      <c r="J564" s="4" t="n">
        <f aca="false">(F564-I564)*(1-情景参数!F16)</f>
        <v>4582.92215699171</v>
      </c>
      <c r="K564" s="4" t="n">
        <f aca="false">偿债原表!F13</f>
        <v>0</v>
      </c>
      <c r="L564" s="4" t="n">
        <f aca="false">偿债原表!G13</f>
        <v>673.2</v>
      </c>
      <c r="M564" s="4" t="n">
        <f aca="false">K564+L564</f>
        <v>673.2</v>
      </c>
      <c r="N564" s="4" t="n">
        <f aca="false">J564-M564</f>
        <v>3909.72215699171</v>
      </c>
      <c r="O564" s="4" t="n">
        <f aca="false">O563+N564</f>
        <v>-5088.39989278479</v>
      </c>
      <c r="P564" s="4" t="n">
        <f aca="false">MAX(0,-(R563+N564))</f>
        <v>0</v>
      </c>
      <c r="Q564" s="4" t="n">
        <f aca="false">Q563+P564</f>
        <v>8998.1220497765</v>
      </c>
      <c r="R564" s="4" t="n">
        <f aca="false">O564+Q564</f>
        <v>3909.72215699171</v>
      </c>
    </row>
    <row r="565" customFormat="false" ht="15" hidden="false" customHeight="false" outlineLevel="0" collapsed="false">
      <c r="A565" s="2" t="s">
        <v>54</v>
      </c>
      <c r="B565" s="2" t="s">
        <v>40</v>
      </c>
      <c r="C565" s="12" t="n">
        <v>12</v>
      </c>
      <c r="D565" s="12" t="n">
        <v>2035</v>
      </c>
      <c r="E565" s="4" t="n">
        <f aca="false">INDEX(驱动复算!A13:X13,1,情景参数!B16)</f>
        <v>15029.637666875</v>
      </c>
      <c r="F565" s="4" t="n">
        <f aca="false">E565*(1-情景参数!D16)</f>
        <v>14278.1557835313</v>
      </c>
      <c r="G565" s="4" t="n">
        <f aca="false">IF(情景参数!E16="原表",驱动复算!U13-驱动复算!W13,驱动复算!P13)</f>
        <v>9045.72228019992</v>
      </c>
      <c r="H565" s="4" t="n">
        <f aca="false">IF(情景参数!E16="原表",驱动复算!W13,F565*情景参数!C16)</f>
        <v>285.563115670625</v>
      </c>
      <c r="I565" s="4" t="n">
        <f aca="false">IF(情景参数!E16="原表",驱动复算!U13,G565+H565)</f>
        <v>9331.28539587055</v>
      </c>
      <c r="J565" s="4" t="n">
        <f aca="false">(F565-I565)*(1-情景参数!F16)</f>
        <v>4946.87038766071</v>
      </c>
      <c r="K565" s="4" t="n">
        <f aca="false">偿债原表!F14</f>
        <v>0</v>
      </c>
      <c r="L565" s="4" t="n">
        <f aca="false">偿债原表!G14</f>
        <v>673.2</v>
      </c>
      <c r="M565" s="4" t="n">
        <f aca="false">K565+L565</f>
        <v>673.2</v>
      </c>
      <c r="N565" s="4" t="n">
        <f aca="false">J565-M565</f>
        <v>4273.67038766071</v>
      </c>
      <c r="O565" s="4" t="n">
        <f aca="false">O564+N565</f>
        <v>-814.729505124076</v>
      </c>
      <c r="P565" s="4" t="n">
        <f aca="false">MAX(0,-(R564+N565))</f>
        <v>0</v>
      </c>
      <c r="Q565" s="4" t="n">
        <f aca="false">Q564+P565</f>
        <v>8998.1220497765</v>
      </c>
      <c r="R565" s="4" t="n">
        <f aca="false">O565+Q565</f>
        <v>8183.39254465242</v>
      </c>
    </row>
    <row r="566" customFormat="false" ht="15" hidden="false" customHeight="false" outlineLevel="0" collapsed="false">
      <c r="A566" s="2" t="s">
        <v>54</v>
      </c>
      <c r="B566" s="2" t="s">
        <v>40</v>
      </c>
      <c r="C566" s="12" t="n">
        <v>13</v>
      </c>
      <c r="D566" s="12" t="n">
        <v>2036</v>
      </c>
      <c r="E566" s="4" t="n">
        <f aca="false">INDEX(驱动复算!A14:X14,1,情景参数!B16)</f>
        <v>15737.2495502188</v>
      </c>
      <c r="F566" s="4" t="n">
        <f aca="false">E566*(1-情景参数!D16)</f>
        <v>14950.3870727078</v>
      </c>
      <c r="G566" s="4" t="n">
        <f aca="false">IF(情景参数!E16="原表",驱动复算!U14-驱动复算!W14,驱动复算!P14)</f>
        <v>9317.09394860592</v>
      </c>
      <c r="H566" s="4" t="n">
        <f aca="false">IF(情景参数!E16="原表",驱动复算!W14,F566*情景参数!C16)</f>
        <v>299.007741454156</v>
      </c>
      <c r="I566" s="4" t="n">
        <f aca="false">IF(情景参数!E16="原表",驱动复算!U14,G566+H566)</f>
        <v>9616.10169006007</v>
      </c>
      <c r="J566" s="4" t="n">
        <f aca="false">(F566-I566)*(1-情景参数!F16)</f>
        <v>5334.28538264775</v>
      </c>
      <c r="K566" s="4" t="n">
        <f aca="false">偿债原表!F15</f>
        <v>0</v>
      </c>
      <c r="L566" s="4" t="n">
        <f aca="false">偿债原表!G15</f>
        <v>673.2</v>
      </c>
      <c r="M566" s="4" t="n">
        <f aca="false">K566+L566</f>
        <v>673.2</v>
      </c>
      <c r="N566" s="4" t="n">
        <f aca="false">J566-M566</f>
        <v>4661.08538264775</v>
      </c>
      <c r="O566" s="4" t="n">
        <f aca="false">O565+N566</f>
        <v>3846.35587752367</v>
      </c>
      <c r="P566" s="4" t="n">
        <f aca="false">MAX(0,-(R565+N566))</f>
        <v>0</v>
      </c>
      <c r="Q566" s="4" t="n">
        <f aca="false">Q565+P566</f>
        <v>8998.1220497765</v>
      </c>
      <c r="R566" s="4" t="n">
        <f aca="false">O566+Q566</f>
        <v>12844.4779273002</v>
      </c>
    </row>
    <row r="567" customFormat="false" ht="15" hidden="false" customHeight="false" outlineLevel="0" collapsed="false">
      <c r="A567" s="2" t="s">
        <v>54</v>
      </c>
      <c r="B567" s="2" t="s">
        <v>40</v>
      </c>
      <c r="C567" s="12" t="n">
        <v>14</v>
      </c>
      <c r="D567" s="12" t="n">
        <v>2037</v>
      </c>
      <c r="E567" s="4" t="n">
        <f aca="false">INDEX(驱动复算!A15:X15,1,情景参数!B16)</f>
        <v>16480.2420277297</v>
      </c>
      <c r="F567" s="4" t="n">
        <f aca="false">E567*(1-情景参数!D16)</f>
        <v>15656.2299263432</v>
      </c>
      <c r="G567" s="4" t="n">
        <f aca="false">IF(情景参数!E16="原表",驱动复算!U15-驱动复算!W15,驱动复算!P15)</f>
        <v>9596.6067670641</v>
      </c>
      <c r="H567" s="4" t="n">
        <f aca="false">IF(情景参数!E16="原表",驱动复算!W15,F567*情景参数!C16)</f>
        <v>313.124598526864</v>
      </c>
      <c r="I567" s="4" t="n">
        <f aca="false">IF(情景参数!E16="原表",驱动复算!U15,G567+H567)</f>
        <v>9909.73136559096</v>
      </c>
      <c r="J567" s="4" t="n">
        <f aca="false">(F567-I567)*(1-情景参数!F16)</f>
        <v>5746.49856075225</v>
      </c>
      <c r="K567" s="4" t="n">
        <f aca="false">偿债原表!F16</f>
        <v>1000</v>
      </c>
      <c r="L567" s="4" t="n">
        <f aca="false">偿债原表!G16</f>
        <v>673.2</v>
      </c>
      <c r="M567" s="4" t="n">
        <f aca="false">K567+L567</f>
        <v>1673.2</v>
      </c>
      <c r="N567" s="4" t="n">
        <f aca="false">J567-M567</f>
        <v>4073.29856075225</v>
      </c>
      <c r="O567" s="4" t="n">
        <f aca="false">O566+N567</f>
        <v>7919.65443827592</v>
      </c>
      <c r="P567" s="4" t="n">
        <f aca="false">MAX(0,-(R566+N567))</f>
        <v>0</v>
      </c>
      <c r="Q567" s="4" t="n">
        <f aca="false">Q566+P567</f>
        <v>8998.1220497765</v>
      </c>
      <c r="R567" s="4" t="n">
        <f aca="false">O567+Q567</f>
        <v>16917.7764880524</v>
      </c>
    </row>
    <row r="568" customFormat="false" ht="15" hidden="false" customHeight="false" outlineLevel="0" collapsed="false">
      <c r="A568" s="2" t="s">
        <v>54</v>
      </c>
      <c r="B568" s="2" t="s">
        <v>40</v>
      </c>
      <c r="C568" s="12" t="n">
        <v>15</v>
      </c>
      <c r="D568" s="12" t="n">
        <v>2038</v>
      </c>
      <c r="E568" s="4" t="n">
        <f aca="false">INDEX(驱动复算!A16:X16,1,情景参数!B16)</f>
        <v>16821.7888682843</v>
      </c>
      <c r="F568" s="4" t="n">
        <f aca="false">E568*(1-情景参数!D16)</f>
        <v>15980.6994248701</v>
      </c>
      <c r="G568" s="4" t="n">
        <f aca="false">IF(情景参数!E16="原表",驱动复算!U16-驱动复算!W16,驱动复算!P16)</f>
        <v>9884.50497007602</v>
      </c>
      <c r="H568" s="4" t="n">
        <f aca="false">IF(情景参数!E16="原表",驱动复算!W16,F568*情景参数!C16)</f>
        <v>319.613988497401</v>
      </c>
      <c r="I568" s="4" t="n">
        <f aca="false">IF(情景参数!E16="原表",驱动复算!U16,G568+H568)</f>
        <v>10204.1189585734</v>
      </c>
      <c r="J568" s="4" t="n">
        <f aca="false">(F568-I568)*(1-情景参数!F16)</f>
        <v>5776.58046629665</v>
      </c>
      <c r="K568" s="4" t="n">
        <f aca="false">偿债原表!F17</f>
        <v>0</v>
      </c>
      <c r="L568" s="4" t="n">
        <f aca="false">偿债原表!G17</f>
        <v>644</v>
      </c>
      <c r="M568" s="4" t="n">
        <f aca="false">K568+L568</f>
        <v>644</v>
      </c>
      <c r="N568" s="4" t="n">
        <f aca="false">J568-M568</f>
        <v>5132.58046629665</v>
      </c>
      <c r="O568" s="4" t="n">
        <f aca="false">O567+N568</f>
        <v>13052.2349045726</v>
      </c>
      <c r="P568" s="4" t="n">
        <f aca="false">MAX(0,-(R567+N568))</f>
        <v>0</v>
      </c>
      <c r="Q568" s="4" t="n">
        <f aca="false">Q567+P568</f>
        <v>8998.1220497765</v>
      </c>
      <c r="R568" s="4" t="n">
        <f aca="false">O568+Q568</f>
        <v>22050.3569543491</v>
      </c>
    </row>
    <row r="569" customFormat="false" ht="15" hidden="false" customHeight="false" outlineLevel="0" collapsed="false">
      <c r="A569" s="2" t="s">
        <v>54</v>
      </c>
      <c r="B569" s="2" t="s">
        <v>40</v>
      </c>
      <c r="C569" s="12" t="n">
        <v>16</v>
      </c>
      <c r="D569" s="12" t="n">
        <v>2039</v>
      </c>
      <c r="E569" s="4" t="n">
        <f aca="false">INDEX(驱动复算!A17:X17,1,情景参数!B16)</f>
        <v>17140.08684565</v>
      </c>
      <c r="F569" s="4" t="n">
        <f aca="false">E569*(1-情景参数!D16)</f>
        <v>16283.0825033675</v>
      </c>
      <c r="G569" s="4" t="n">
        <f aca="false">IF(情景参数!E16="原表",驱动复算!U17-驱动复算!W17,驱动复算!P17)</f>
        <v>10181.0401191783</v>
      </c>
      <c r="H569" s="4" t="n">
        <f aca="false">IF(情景参数!E16="原表",驱动复算!W17,F569*情景参数!C16)</f>
        <v>325.66165006735</v>
      </c>
      <c r="I569" s="4" t="n">
        <f aca="false">IF(情景参数!E16="原表",驱动复算!U17,G569+H569)</f>
        <v>10506.7017692457</v>
      </c>
      <c r="J569" s="4" t="n">
        <f aca="false">(F569-I569)*(1-情景参数!F16)</f>
        <v>5776.38073412183</v>
      </c>
      <c r="K569" s="4" t="n">
        <f aca="false">偿债原表!F18</f>
        <v>0</v>
      </c>
      <c r="L569" s="4" t="n">
        <f aca="false">偿债原表!G18</f>
        <v>644</v>
      </c>
      <c r="M569" s="4" t="n">
        <f aca="false">K569+L569</f>
        <v>644</v>
      </c>
      <c r="N569" s="4" t="n">
        <f aca="false">J569-M569</f>
        <v>5132.38073412183</v>
      </c>
      <c r="O569" s="4" t="n">
        <f aca="false">O568+N569</f>
        <v>18184.6156386944</v>
      </c>
      <c r="P569" s="4" t="n">
        <f aca="false">MAX(0,-(R568+N569))</f>
        <v>0</v>
      </c>
      <c r="Q569" s="4" t="n">
        <f aca="false">Q568+P569</f>
        <v>8998.1220497765</v>
      </c>
      <c r="R569" s="4" t="n">
        <f aca="false">O569+Q569</f>
        <v>27182.7376884709</v>
      </c>
    </row>
    <row r="570" customFormat="false" ht="15" hidden="false" customHeight="false" outlineLevel="0" collapsed="false">
      <c r="A570" s="2" t="s">
        <v>54</v>
      </c>
      <c r="B570" s="2" t="s">
        <v>40</v>
      </c>
      <c r="C570" s="12" t="n">
        <v>17</v>
      </c>
      <c r="D570" s="12" t="n">
        <v>2040</v>
      </c>
      <c r="E570" s="4" t="n">
        <f aca="false">INDEX(驱动复算!A18:X18,1,情景参数!B16)</f>
        <v>17464.750782563</v>
      </c>
      <c r="F570" s="4" t="n">
        <f aca="false">E570*(1-情景参数!D16)</f>
        <v>16591.5132434348</v>
      </c>
      <c r="G570" s="4" t="n">
        <f aca="false">IF(情景参数!E16="原表",驱动复算!U18-驱动复算!W18,驱动复算!P18)</f>
        <v>10486.4713227536</v>
      </c>
      <c r="H570" s="4" t="n">
        <f aca="false">IF(情景参数!E16="原表",驱动复算!W18,F570*情景参数!C16)</f>
        <v>331.830264868697</v>
      </c>
      <c r="I570" s="4" t="n">
        <f aca="false">IF(情景参数!E16="原表",驱动复算!U18,G570+H570)</f>
        <v>10818.3015876223</v>
      </c>
      <c r="J570" s="4" t="n">
        <f aca="false">(F570-I570)*(1-情景参数!F16)</f>
        <v>5773.21165581249</v>
      </c>
      <c r="K570" s="4" t="n">
        <f aca="false">偿债原表!F19</f>
        <v>0</v>
      </c>
      <c r="L570" s="4" t="n">
        <f aca="false">偿债原表!G19</f>
        <v>644</v>
      </c>
      <c r="M570" s="4" t="n">
        <f aca="false">K570+L570</f>
        <v>644</v>
      </c>
      <c r="N570" s="4" t="n">
        <f aca="false">J570-M570</f>
        <v>5129.21165581249</v>
      </c>
      <c r="O570" s="4" t="n">
        <f aca="false">O569+N570</f>
        <v>23313.8272945069</v>
      </c>
      <c r="P570" s="4" t="n">
        <f aca="false">MAX(0,-(R569+N570))</f>
        <v>0</v>
      </c>
      <c r="Q570" s="4" t="n">
        <f aca="false">Q569+P570</f>
        <v>8998.1220497765</v>
      </c>
      <c r="R570" s="4" t="n">
        <f aca="false">O570+Q570</f>
        <v>32311.9493442834</v>
      </c>
    </row>
    <row r="571" customFormat="false" ht="15" hidden="false" customHeight="false" outlineLevel="0" collapsed="false">
      <c r="A571" s="2" t="s">
        <v>54</v>
      </c>
      <c r="B571" s="2" t="s">
        <v>40</v>
      </c>
      <c r="C571" s="12" t="n">
        <v>18</v>
      </c>
      <c r="D571" s="12" t="n">
        <v>2041</v>
      </c>
      <c r="E571" s="4" t="n">
        <f aca="false">INDEX(驱动复算!A19:X19,1,情景参数!B16)</f>
        <v>17795.9079982142</v>
      </c>
      <c r="F571" s="4" t="n">
        <f aca="false">E571*(1-情景参数!D16)</f>
        <v>16906.1125983035</v>
      </c>
      <c r="G571" s="4" t="n">
        <f aca="false">IF(情景参数!E16="原表",驱动复算!U19-驱动复算!W19,驱动复算!P19)</f>
        <v>10801.0654624363</v>
      </c>
      <c r="H571" s="4" t="n">
        <f aca="false">IF(情景参数!E16="原表",驱动复算!W19,F571*情景参数!C16)</f>
        <v>338.12225196607</v>
      </c>
      <c r="I571" s="4" t="n">
        <f aca="false">IF(情景参数!E16="原表",驱动复算!U19,G571+H571)</f>
        <v>11139.1877144023</v>
      </c>
      <c r="J571" s="4" t="n">
        <f aca="false">(F571-I571)*(1-情景参数!F16)</f>
        <v>5766.92488390119</v>
      </c>
      <c r="K571" s="4" t="n">
        <f aca="false">偿债原表!F20</f>
        <v>20000</v>
      </c>
      <c r="L571" s="4" t="n">
        <f aca="false">偿债原表!G20</f>
        <v>644</v>
      </c>
      <c r="M571" s="4" t="n">
        <f aca="false">K571+L571</f>
        <v>20644</v>
      </c>
      <c r="N571" s="4" t="n">
        <f aca="false">J571-M571</f>
        <v>-14877.0751160988</v>
      </c>
      <c r="O571" s="4" t="n">
        <f aca="false">O570+N571</f>
        <v>8436.75217840808</v>
      </c>
      <c r="P571" s="4" t="n">
        <f aca="false">MAX(0,-(R570+N571))</f>
        <v>0</v>
      </c>
      <c r="Q571" s="4" t="n">
        <f aca="false">Q570+P571</f>
        <v>8998.1220497765</v>
      </c>
      <c r="R571" s="4" t="n">
        <f aca="false">O571+Q571</f>
        <v>17434.8742281846</v>
      </c>
    </row>
    <row r="572" customFormat="false" ht="15" hidden="false" customHeight="false" outlineLevel="0" collapsed="false">
      <c r="A572" s="2" t="s">
        <v>55</v>
      </c>
      <c r="B572" s="2" t="s">
        <v>39</v>
      </c>
      <c r="C572" s="12" t="n">
        <v>0</v>
      </c>
      <c r="D572" s="13" t="s">
        <v>248</v>
      </c>
      <c r="E572" s="4" t="n">
        <f aca="false">0</f>
        <v>0</v>
      </c>
      <c r="F572" s="4" t="n">
        <f aca="false">E572*(1-情景参数!D17)</f>
        <v>0</v>
      </c>
      <c r="G572" s="4" t="n">
        <f aca="false">0</f>
        <v>0</v>
      </c>
      <c r="H572" s="4" t="n">
        <f aca="false">0</f>
        <v>0</v>
      </c>
      <c r="I572" s="4" t="n">
        <f aca="false">0</f>
        <v>0</v>
      </c>
      <c r="J572" s="4" t="n">
        <f aca="false">(F572-I572)*(1-情景参数!F17)</f>
        <v>0</v>
      </c>
      <c r="K572" s="4" t="n">
        <f aca="false">偿债原表!C2</f>
        <v>0</v>
      </c>
      <c r="L572" s="4" t="n">
        <f aca="false">偿债原表!D2</f>
        <v>1374.2</v>
      </c>
      <c r="M572" s="4" t="n">
        <f aca="false">K572+L572</f>
        <v>1374.2</v>
      </c>
      <c r="N572" s="4" t="n">
        <f aca="false">J572-M572</f>
        <v>-1374.2</v>
      </c>
      <c r="O572" s="4" t="n">
        <f aca="false">N572</f>
        <v>-1374.2</v>
      </c>
      <c r="P572" s="4" t="n">
        <f aca="false">MAX(0,-N572)</f>
        <v>1374.2</v>
      </c>
      <c r="Q572" s="4" t="n">
        <f aca="false">P572</f>
        <v>1374.2</v>
      </c>
      <c r="R572" s="4" t="n">
        <f aca="false">O572+Q572</f>
        <v>0</v>
      </c>
    </row>
    <row r="573" customFormat="false" ht="15" hidden="false" customHeight="false" outlineLevel="0" collapsed="false">
      <c r="A573" s="2" t="s">
        <v>55</v>
      </c>
      <c r="B573" s="2" t="s">
        <v>39</v>
      </c>
      <c r="C573" s="12" t="n">
        <v>1</v>
      </c>
      <c r="D573" s="12" t="n">
        <v>2024</v>
      </c>
      <c r="E573" s="4" t="n">
        <f aca="false">INDEX(驱动复算!A2:X2,1,情景参数!B17)</f>
        <v>0</v>
      </c>
      <c r="F573" s="4" t="n">
        <f aca="false">E573*(1-情景参数!D17)</f>
        <v>0</v>
      </c>
      <c r="G573" s="4" t="n">
        <f aca="false">IF(情景参数!E17="原表",驱动复算!U2-驱动复算!W2,驱动复算!P2)</f>
        <v>0</v>
      </c>
      <c r="H573" s="4" t="n">
        <f aca="false">IF(情景参数!E17="原表",驱动复算!W2,F573*情景参数!C17)</f>
        <v>0</v>
      </c>
      <c r="I573" s="4" t="n">
        <f aca="false">IF(情景参数!E17="原表",驱动复算!U2,G573+H573)</f>
        <v>0</v>
      </c>
      <c r="J573" s="4" t="n">
        <f aca="false">(F573-I573)*(1-情景参数!F17)</f>
        <v>0</v>
      </c>
      <c r="K573" s="4" t="n">
        <f aca="false">偿债原表!C3</f>
        <v>0</v>
      </c>
      <c r="L573" s="4" t="n">
        <f aca="false">偿债原表!D3</f>
        <v>1093.2</v>
      </c>
      <c r="M573" s="4" t="n">
        <f aca="false">K573+L573</f>
        <v>1093.2</v>
      </c>
      <c r="N573" s="4" t="n">
        <f aca="false">J573-M573</f>
        <v>-1093.2</v>
      </c>
      <c r="O573" s="4" t="n">
        <f aca="false">O572+N573</f>
        <v>-2467.4</v>
      </c>
      <c r="P573" s="4" t="n">
        <f aca="false">MAX(0,-(R572+N573))</f>
        <v>1093.2</v>
      </c>
      <c r="Q573" s="4" t="n">
        <f aca="false">Q572+P573</f>
        <v>2467.4</v>
      </c>
      <c r="R573" s="4" t="n">
        <f aca="false">O573+Q573</f>
        <v>0</v>
      </c>
    </row>
    <row r="574" customFormat="false" ht="15" hidden="false" customHeight="false" outlineLevel="0" collapsed="false">
      <c r="A574" s="2" t="s">
        <v>55</v>
      </c>
      <c r="B574" s="2" t="s">
        <v>39</v>
      </c>
      <c r="C574" s="12" t="n">
        <v>2</v>
      </c>
      <c r="D574" s="12" t="n">
        <v>2025</v>
      </c>
      <c r="E574" s="4" t="n">
        <f aca="false">INDEX(驱动复算!A3:X3,1,情景参数!B17)</f>
        <v>0</v>
      </c>
      <c r="F574" s="4" t="n">
        <f aca="false">E574*(1-情景参数!D17)</f>
        <v>0</v>
      </c>
      <c r="G574" s="4" t="n">
        <f aca="false">IF(情景参数!E17="原表",驱动复算!U3-驱动复算!W3,驱动复算!P3)</f>
        <v>0</v>
      </c>
      <c r="H574" s="4" t="n">
        <f aca="false">IF(情景参数!E17="原表",驱动复算!W3,F574*情景参数!C17)</f>
        <v>0</v>
      </c>
      <c r="I574" s="4" t="n">
        <f aca="false">IF(情景参数!E17="原表",驱动复算!U3,G574+H574)</f>
        <v>0</v>
      </c>
      <c r="J574" s="4" t="n">
        <f aca="false">(F574-I574)*(1-情景参数!F17)</f>
        <v>0</v>
      </c>
      <c r="K574" s="4" t="n">
        <f aca="false">偿债原表!C4</f>
        <v>0</v>
      </c>
      <c r="L574" s="4" t="n">
        <f aca="false">偿债原表!D4</f>
        <v>1093.2</v>
      </c>
      <c r="M574" s="4" t="n">
        <f aca="false">K574+L574</f>
        <v>1093.2</v>
      </c>
      <c r="N574" s="4" t="n">
        <f aca="false">J574-M574</f>
        <v>-1093.2</v>
      </c>
      <c r="O574" s="4" t="n">
        <f aca="false">O573+N574</f>
        <v>-3560.6</v>
      </c>
      <c r="P574" s="4" t="n">
        <f aca="false">MAX(0,-(R573+N574))</f>
        <v>1093.2</v>
      </c>
      <c r="Q574" s="4" t="n">
        <f aca="false">Q573+P574</f>
        <v>3560.6</v>
      </c>
      <c r="R574" s="4" t="n">
        <f aca="false">O574+Q574</f>
        <v>0</v>
      </c>
    </row>
    <row r="575" customFormat="false" ht="15" hidden="false" customHeight="false" outlineLevel="0" collapsed="false">
      <c r="A575" s="2" t="s">
        <v>55</v>
      </c>
      <c r="B575" s="2" t="s">
        <v>39</v>
      </c>
      <c r="C575" s="12" t="n">
        <v>3</v>
      </c>
      <c r="D575" s="12" t="n">
        <v>2026</v>
      </c>
      <c r="E575" s="4" t="n">
        <f aca="false">INDEX(驱动复算!A4:X4,1,情景参数!B17)</f>
        <v>0</v>
      </c>
      <c r="F575" s="4" t="n">
        <f aca="false">E575*(1-情景参数!D17)</f>
        <v>0</v>
      </c>
      <c r="G575" s="4" t="n">
        <f aca="false">IF(情景参数!E17="原表",驱动复算!U4-驱动复算!W4,驱动复算!P4)</f>
        <v>0</v>
      </c>
      <c r="H575" s="4" t="n">
        <f aca="false">IF(情景参数!E17="原表",驱动复算!W4,F575*情景参数!C17)</f>
        <v>0</v>
      </c>
      <c r="I575" s="4" t="n">
        <f aca="false">IF(情景参数!E17="原表",驱动复算!U4,G575+H575)</f>
        <v>0</v>
      </c>
      <c r="J575" s="4" t="n">
        <f aca="false">(F575-I575)*(1-情景参数!F17)</f>
        <v>0</v>
      </c>
      <c r="K575" s="4" t="n">
        <f aca="false">偿债原表!C5</f>
        <v>0</v>
      </c>
      <c r="L575" s="4" t="n">
        <f aca="false">偿债原表!D5</f>
        <v>1093.2</v>
      </c>
      <c r="M575" s="4" t="n">
        <f aca="false">K575+L575</f>
        <v>1093.2</v>
      </c>
      <c r="N575" s="4" t="n">
        <f aca="false">J575-M575</f>
        <v>-1093.2</v>
      </c>
      <c r="O575" s="4" t="n">
        <f aca="false">O574+N575</f>
        <v>-4653.8</v>
      </c>
      <c r="P575" s="4" t="n">
        <f aca="false">MAX(0,-(R574+N575))</f>
        <v>1093.2</v>
      </c>
      <c r="Q575" s="4" t="n">
        <f aca="false">Q574+P575</f>
        <v>4653.8</v>
      </c>
      <c r="R575" s="4" t="n">
        <f aca="false">O575+Q575</f>
        <v>0</v>
      </c>
    </row>
    <row r="576" customFormat="false" ht="15" hidden="false" customHeight="false" outlineLevel="0" collapsed="false">
      <c r="A576" s="2" t="s">
        <v>55</v>
      </c>
      <c r="B576" s="2" t="s">
        <v>39</v>
      </c>
      <c r="C576" s="12" t="n">
        <v>4</v>
      </c>
      <c r="D576" s="12" t="n">
        <v>2027</v>
      </c>
      <c r="E576" s="4" t="n">
        <f aca="false">INDEX(驱动复算!A5:X5,1,情景参数!B17)</f>
        <v>0</v>
      </c>
      <c r="F576" s="4" t="n">
        <f aca="false">E576*(1-情景参数!D17)</f>
        <v>0</v>
      </c>
      <c r="G576" s="4" t="n">
        <f aca="false">IF(情景参数!E17="原表",驱动复算!U5-驱动复算!W5,驱动复算!P5)</f>
        <v>0</v>
      </c>
      <c r="H576" s="4" t="n">
        <f aca="false">IF(情景参数!E17="原表",驱动复算!W5,F576*情景参数!C17)</f>
        <v>0</v>
      </c>
      <c r="I576" s="4" t="n">
        <f aca="false">IF(情景参数!E17="原表",驱动复算!U5,G576+H576)</f>
        <v>0</v>
      </c>
      <c r="J576" s="4" t="n">
        <f aca="false">(F576-I576)*(1-情景参数!F17)</f>
        <v>0</v>
      </c>
      <c r="K576" s="4" t="n">
        <f aca="false">偿债原表!C6</f>
        <v>0</v>
      </c>
      <c r="L576" s="4" t="n">
        <f aca="false">偿债原表!D6</f>
        <v>1093.2</v>
      </c>
      <c r="M576" s="4" t="n">
        <f aca="false">K576+L576</f>
        <v>1093.2</v>
      </c>
      <c r="N576" s="4" t="n">
        <f aca="false">J576-M576</f>
        <v>-1093.2</v>
      </c>
      <c r="O576" s="4" t="n">
        <f aca="false">O575+N576</f>
        <v>-5747</v>
      </c>
      <c r="P576" s="4" t="n">
        <f aca="false">MAX(0,-(R575+N576))</f>
        <v>1093.2</v>
      </c>
      <c r="Q576" s="4" t="n">
        <f aca="false">Q575+P576</f>
        <v>5747</v>
      </c>
      <c r="R576" s="4" t="n">
        <f aca="false">O576+Q576</f>
        <v>0</v>
      </c>
    </row>
    <row r="577" customFormat="false" ht="15" hidden="false" customHeight="false" outlineLevel="0" collapsed="false">
      <c r="A577" s="2" t="s">
        <v>55</v>
      </c>
      <c r="B577" s="2" t="s">
        <v>39</v>
      </c>
      <c r="C577" s="12" t="n">
        <v>5</v>
      </c>
      <c r="D577" s="12" t="n">
        <v>2028</v>
      </c>
      <c r="E577" s="4" t="n">
        <f aca="false">INDEX(驱动复算!A6:X6,1,情景参数!B17)</f>
        <v>9076.9</v>
      </c>
      <c r="F577" s="4" t="n">
        <f aca="false">E577*(1-情景参数!D17)</f>
        <v>8623.055</v>
      </c>
      <c r="G577" s="4" t="n">
        <f aca="false">IF(情景参数!E17="原表",驱动复算!U6-驱动复算!W6,驱动复算!P6)</f>
        <v>7355</v>
      </c>
      <c r="H577" s="4" t="n">
        <f aca="false">IF(情景参数!E17="原表",驱动复算!W6,F577*情景参数!C17)</f>
        <v>431.15275</v>
      </c>
      <c r="I577" s="4" t="n">
        <f aca="false">IF(情景参数!E17="原表",驱动复算!U6,G577+H577)</f>
        <v>7786.15275</v>
      </c>
      <c r="J577" s="4" t="n">
        <f aca="false">(F577-I577)*(1-情景参数!F17)</f>
        <v>836.902249999998</v>
      </c>
      <c r="K577" s="4" t="n">
        <f aca="false">偿债原表!C7</f>
        <v>11000</v>
      </c>
      <c r="L577" s="4" t="n">
        <f aca="false">偿债原表!D7</f>
        <v>1093.2</v>
      </c>
      <c r="M577" s="4" t="n">
        <f aca="false">K577+L577</f>
        <v>12093.2</v>
      </c>
      <c r="N577" s="4" t="n">
        <f aca="false">J577-M577</f>
        <v>-11256.29775</v>
      </c>
      <c r="O577" s="4" t="n">
        <f aca="false">O576+N577</f>
        <v>-17003.29775</v>
      </c>
      <c r="P577" s="4" t="n">
        <f aca="false">MAX(0,-(R576+N577))</f>
        <v>11256.29775</v>
      </c>
      <c r="Q577" s="4" t="n">
        <f aca="false">Q576+P577</f>
        <v>17003.29775</v>
      </c>
      <c r="R577" s="4" t="n">
        <f aca="false">O577+Q577</f>
        <v>0</v>
      </c>
    </row>
    <row r="578" customFormat="false" ht="15" hidden="false" customHeight="false" outlineLevel="0" collapsed="false">
      <c r="A578" s="2" t="s">
        <v>55</v>
      </c>
      <c r="B578" s="2" t="s">
        <v>39</v>
      </c>
      <c r="C578" s="12" t="n">
        <v>6</v>
      </c>
      <c r="D578" s="12" t="n">
        <v>2029</v>
      </c>
      <c r="E578" s="4" t="n">
        <f aca="false">INDEX(驱动复算!A7:X7,1,情景参数!B17)</f>
        <v>9965.51</v>
      </c>
      <c r="F578" s="4" t="n">
        <f aca="false">E578*(1-情景参数!D17)</f>
        <v>9467.2345</v>
      </c>
      <c r="G578" s="4" t="n">
        <f aca="false">IF(情景参数!E17="原表",驱动复算!U7-驱动复算!W7,驱动复算!P7)</f>
        <v>7575.65</v>
      </c>
      <c r="H578" s="4" t="n">
        <f aca="false">IF(情景参数!E17="原表",驱动复算!W7,F578*情景参数!C17)</f>
        <v>473.361725</v>
      </c>
      <c r="I578" s="4" t="n">
        <f aca="false">IF(情景参数!E17="原表",驱动复算!U7,G578+H578)</f>
        <v>8049.011725</v>
      </c>
      <c r="J578" s="4" t="n">
        <f aca="false">(F578-I578)*(1-情景参数!F17)</f>
        <v>1418.222775</v>
      </c>
      <c r="K578" s="4" t="n">
        <f aca="false">偿债原表!C8</f>
        <v>0</v>
      </c>
      <c r="L578" s="4" t="n">
        <f aca="false">偿债原表!D8</f>
        <v>730.2</v>
      </c>
      <c r="M578" s="4" t="n">
        <f aca="false">K578+L578</f>
        <v>730.2</v>
      </c>
      <c r="N578" s="4" t="n">
        <f aca="false">J578-M578</f>
        <v>688.022774999998</v>
      </c>
      <c r="O578" s="4" t="n">
        <f aca="false">O577+N578</f>
        <v>-16315.274975</v>
      </c>
      <c r="P578" s="4" t="n">
        <f aca="false">MAX(0,-(R577+N578))</f>
        <v>0</v>
      </c>
      <c r="Q578" s="4" t="n">
        <f aca="false">Q577+P578</f>
        <v>17003.29775</v>
      </c>
      <c r="R578" s="4" t="n">
        <f aca="false">O578+Q578</f>
        <v>688.022774999998</v>
      </c>
    </row>
    <row r="579" customFormat="false" ht="15" hidden="false" customHeight="false" outlineLevel="0" collapsed="false">
      <c r="A579" s="2" t="s">
        <v>55</v>
      </c>
      <c r="B579" s="2" t="s">
        <v>39</v>
      </c>
      <c r="C579" s="12" t="n">
        <v>7</v>
      </c>
      <c r="D579" s="12" t="n">
        <v>2030</v>
      </c>
      <c r="E579" s="4" t="n">
        <f aca="false">INDEX(驱动复算!A8:X8,1,情景参数!B17)</f>
        <v>10884.01</v>
      </c>
      <c r="F579" s="4" t="n">
        <f aca="false">E579*(1-情景参数!D17)</f>
        <v>10339.8095</v>
      </c>
      <c r="G579" s="4" t="n">
        <f aca="false">IF(情景参数!E17="原表",驱动复算!U8-驱动复算!W8,驱动复算!P8)</f>
        <v>7802.9195</v>
      </c>
      <c r="H579" s="4" t="n">
        <f aca="false">IF(情景参数!E17="原表",驱动复算!W8,F579*情景参数!C17)</f>
        <v>516.990475</v>
      </c>
      <c r="I579" s="4" t="n">
        <f aca="false">IF(情景参数!E17="原表",驱动复算!U8,G579+H579)</f>
        <v>8319.909975</v>
      </c>
      <c r="J579" s="4" t="n">
        <f aca="false">(F579-I579)*(1-情景参数!F17)</f>
        <v>2019.899525</v>
      </c>
      <c r="K579" s="4" t="n">
        <f aca="false">偿债原表!C9</f>
        <v>0</v>
      </c>
      <c r="L579" s="4" t="n">
        <f aca="false">偿债原表!D9</f>
        <v>730.2</v>
      </c>
      <c r="M579" s="4" t="n">
        <f aca="false">K579+L579</f>
        <v>730.2</v>
      </c>
      <c r="N579" s="4" t="n">
        <f aca="false">J579-M579</f>
        <v>1289.699525</v>
      </c>
      <c r="O579" s="4" t="n">
        <f aca="false">O578+N579</f>
        <v>-15025.57545</v>
      </c>
      <c r="P579" s="4" t="n">
        <f aca="false">MAX(0,-(R578+N579))</f>
        <v>0</v>
      </c>
      <c r="Q579" s="4" t="n">
        <f aca="false">Q578+P579</f>
        <v>17003.29775</v>
      </c>
      <c r="R579" s="4" t="n">
        <f aca="false">O579+Q579</f>
        <v>1977.7223</v>
      </c>
    </row>
    <row r="580" customFormat="false" ht="15" hidden="false" customHeight="false" outlineLevel="0" collapsed="false">
      <c r="A580" s="2" t="s">
        <v>55</v>
      </c>
      <c r="B580" s="2" t="s">
        <v>39</v>
      </c>
      <c r="C580" s="12" t="n">
        <v>8</v>
      </c>
      <c r="D580" s="12" t="n">
        <v>2031</v>
      </c>
      <c r="E580" s="4" t="n">
        <f aca="false">INDEX(驱动复算!A9:X9,1,情景参数!B17)</f>
        <v>11894.36</v>
      </c>
      <c r="F580" s="4" t="n">
        <f aca="false">E580*(1-情景参数!D17)</f>
        <v>11299.642</v>
      </c>
      <c r="G580" s="4" t="n">
        <f aca="false">IF(情景参数!E17="原表",驱动复算!U9-驱动复算!W9,驱动复算!P9)</f>
        <v>8037.007085</v>
      </c>
      <c r="H580" s="4" t="n">
        <f aca="false">IF(情景参数!E17="原表",驱动复算!W9,F580*情景参数!C17)</f>
        <v>564.9821</v>
      </c>
      <c r="I580" s="4" t="n">
        <f aca="false">IF(情景参数!E17="原表",驱动复算!U9,G580+H580)</f>
        <v>8601.989185</v>
      </c>
      <c r="J580" s="4" t="n">
        <f aca="false">(F580-I580)*(1-情景参数!F17)</f>
        <v>2697.652815</v>
      </c>
      <c r="K580" s="4" t="n">
        <f aca="false">偿债原表!C10</f>
        <v>0</v>
      </c>
      <c r="L580" s="4" t="n">
        <f aca="false">偿债原表!D10</f>
        <v>730.2</v>
      </c>
      <c r="M580" s="4" t="n">
        <f aca="false">K580+L580</f>
        <v>730.2</v>
      </c>
      <c r="N580" s="4" t="n">
        <f aca="false">J580-M580</f>
        <v>1967.452815</v>
      </c>
      <c r="O580" s="4" t="n">
        <f aca="false">O579+N580</f>
        <v>-13058.122635</v>
      </c>
      <c r="P580" s="4" t="n">
        <f aca="false">MAX(0,-(R579+N580))</f>
        <v>0</v>
      </c>
      <c r="Q580" s="4" t="n">
        <f aca="false">Q579+P580</f>
        <v>17003.29775</v>
      </c>
      <c r="R580" s="4" t="n">
        <f aca="false">O580+Q580</f>
        <v>3945.175115</v>
      </c>
    </row>
    <row r="581" customFormat="false" ht="15" hidden="false" customHeight="false" outlineLevel="0" collapsed="false">
      <c r="A581" s="2" t="s">
        <v>55</v>
      </c>
      <c r="B581" s="2" t="s">
        <v>39</v>
      </c>
      <c r="C581" s="12" t="n">
        <v>9</v>
      </c>
      <c r="D581" s="12" t="n">
        <v>2032</v>
      </c>
      <c r="E581" s="4" t="n">
        <f aca="false">INDEX(驱动复算!A10:X10,1,情景参数!B17)</f>
        <v>13005.745</v>
      </c>
      <c r="F581" s="4" t="n">
        <f aca="false">E581*(1-情景参数!D17)</f>
        <v>12355.45775</v>
      </c>
      <c r="G581" s="4" t="n">
        <f aca="false">IF(情景参数!E17="原表",驱动复算!U10-驱动复算!W10,驱动复算!P10)</f>
        <v>8278.11729755</v>
      </c>
      <c r="H581" s="4" t="n">
        <f aca="false">IF(情景参数!E17="原表",驱动复算!W10,F581*情景参数!C17)</f>
        <v>617.7728875</v>
      </c>
      <c r="I581" s="4" t="n">
        <f aca="false">IF(情景参数!E17="原表",驱动复算!U10,G581+H581)</f>
        <v>8895.89018505</v>
      </c>
      <c r="J581" s="4" t="n">
        <f aca="false">(F581-I581)*(1-情景参数!F17)</f>
        <v>3459.56756495</v>
      </c>
      <c r="K581" s="4" t="n">
        <f aca="false">偿债原表!C11</f>
        <v>2000</v>
      </c>
      <c r="L581" s="4" t="n">
        <f aca="false">偿债原表!D11</f>
        <v>730.2</v>
      </c>
      <c r="M581" s="4" t="n">
        <f aca="false">K581+L581</f>
        <v>2730.2</v>
      </c>
      <c r="N581" s="4" t="n">
        <f aca="false">J581-M581</f>
        <v>729.367564950001</v>
      </c>
      <c r="O581" s="4" t="n">
        <f aca="false">O580+N581</f>
        <v>-12328.75507005</v>
      </c>
      <c r="P581" s="4" t="n">
        <f aca="false">MAX(0,-(R580+N581))</f>
        <v>0</v>
      </c>
      <c r="Q581" s="4" t="n">
        <f aca="false">Q580+P581</f>
        <v>17003.29775</v>
      </c>
      <c r="R581" s="4" t="n">
        <f aca="false">O581+Q581</f>
        <v>4674.54267995</v>
      </c>
    </row>
    <row r="582" customFormat="false" ht="15" hidden="false" customHeight="false" outlineLevel="0" collapsed="false">
      <c r="A582" s="2" t="s">
        <v>55</v>
      </c>
      <c r="B582" s="2" t="s">
        <v>39</v>
      </c>
      <c r="C582" s="12" t="n">
        <v>10</v>
      </c>
      <c r="D582" s="12" t="n">
        <v>2033</v>
      </c>
      <c r="E582" s="4" t="n">
        <f aca="false">INDEX(驱动复算!A11:X11,1,情景参数!B17)</f>
        <v>13713.89675</v>
      </c>
      <c r="F582" s="4" t="n">
        <f aca="false">E582*(1-情景参数!D17)</f>
        <v>13028.2019125</v>
      </c>
      <c r="G582" s="4" t="n">
        <f aca="false">IF(情景参数!E17="原表",驱动复算!U11-驱动复算!W11,驱动复算!P11)</f>
        <v>8526.4608164765</v>
      </c>
      <c r="H582" s="4" t="n">
        <f aca="false">IF(情景参数!E17="原表",驱动复算!W11,F582*情景参数!C17)</f>
        <v>651.410095625</v>
      </c>
      <c r="I582" s="4" t="n">
        <f aca="false">IF(情景参数!E17="原表",驱动复算!U11,G582+H582)</f>
        <v>9177.8709121015</v>
      </c>
      <c r="J582" s="4" t="n">
        <f aca="false">(F582-I582)*(1-情景参数!F17)</f>
        <v>3850.3310003985</v>
      </c>
      <c r="K582" s="4" t="n">
        <f aca="false">偿债原表!C12</f>
        <v>0</v>
      </c>
      <c r="L582" s="4" t="n">
        <f aca="false">偿债原表!D12</f>
        <v>673.2</v>
      </c>
      <c r="M582" s="4" t="n">
        <f aca="false">K582+L582</f>
        <v>673.2</v>
      </c>
      <c r="N582" s="4" t="n">
        <f aca="false">J582-M582</f>
        <v>3177.1310003985</v>
      </c>
      <c r="O582" s="4" t="n">
        <f aca="false">O581+N582</f>
        <v>-9151.6240696515</v>
      </c>
      <c r="P582" s="4" t="n">
        <f aca="false">MAX(0,-(R581+N582))</f>
        <v>0</v>
      </c>
      <c r="Q582" s="4" t="n">
        <f aca="false">Q581+P582</f>
        <v>17003.29775</v>
      </c>
      <c r="R582" s="4" t="n">
        <f aca="false">O582+Q582</f>
        <v>7851.6736803485</v>
      </c>
    </row>
    <row r="583" customFormat="false" ht="15" hidden="false" customHeight="false" outlineLevel="0" collapsed="false">
      <c r="A583" s="2" t="s">
        <v>55</v>
      </c>
      <c r="B583" s="2" t="s">
        <v>39</v>
      </c>
      <c r="C583" s="12" t="n">
        <v>11</v>
      </c>
      <c r="D583" s="12" t="n">
        <v>2034</v>
      </c>
      <c r="E583" s="4" t="n">
        <f aca="false">INDEX(驱动复算!A12:X12,1,情景参数!B17)</f>
        <v>14355.7215875</v>
      </c>
      <c r="F583" s="4" t="n">
        <f aca="false">E583*(1-情景参数!D17)</f>
        <v>13637.935508125</v>
      </c>
      <c r="G583" s="4" t="n">
        <f aca="false">IF(情景参数!E17="原表",驱动复算!U12-驱动复算!W12,驱动复算!P12)</f>
        <v>8782.2546409708</v>
      </c>
      <c r="H583" s="4" t="n">
        <f aca="false">IF(情景参数!E17="原表",驱动复算!W12,F583*情景参数!C17)</f>
        <v>681.89677540625</v>
      </c>
      <c r="I583" s="4" t="n">
        <f aca="false">IF(情景参数!E17="原表",驱动复算!U12,G583+H583)</f>
        <v>9464.15141637705</v>
      </c>
      <c r="J583" s="4" t="n">
        <f aca="false">(F583-I583)*(1-情景参数!F17)</f>
        <v>4173.78409174796</v>
      </c>
      <c r="K583" s="4" t="n">
        <f aca="false">偿债原表!C13</f>
        <v>0</v>
      </c>
      <c r="L583" s="4" t="n">
        <f aca="false">偿债原表!D13</f>
        <v>673.2</v>
      </c>
      <c r="M583" s="4" t="n">
        <f aca="false">K583+L583</f>
        <v>673.2</v>
      </c>
      <c r="N583" s="4" t="n">
        <f aca="false">J583-M583</f>
        <v>3500.58409174796</v>
      </c>
      <c r="O583" s="4" t="n">
        <f aca="false">O582+N583</f>
        <v>-5651.03997790354</v>
      </c>
      <c r="P583" s="4" t="n">
        <f aca="false">MAX(0,-(R582+N583))</f>
        <v>0</v>
      </c>
      <c r="Q583" s="4" t="n">
        <f aca="false">Q582+P583</f>
        <v>17003.29775</v>
      </c>
      <c r="R583" s="4" t="n">
        <f aca="false">O583+Q583</f>
        <v>11352.2577720965</v>
      </c>
    </row>
    <row r="584" customFormat="false" ht="15" hidden="false" customHeight="false" outlineLevel="0" collapsed="false">
      <c r="A584" s="2" t="s">
        <v>55</v>
      </c>
      <c r="B584" s="2" t="s">
        <v>39</v>
      </c>
      <c r="C584" s="12" t="n">
        <v>12</v>
      </c>
      <c r="D584" s="12" t="n">
        <v>2035</v>
      </c>
      <c r="E584" s="4" t="n">
        <f aca="false">INDEX(驱动复算!A13:X13,1,情景参数!B17)</f>
        <v>15029.637666875</v>
      </c>
      <c r="F584" s="4" t="n">
        <f aca="false">E584*(1-情景参数!D17)</f>
        <v>14278.1557835313</v>
      </c>
      <c r="G584" s="4" t="n">
        <f aca="false">IF(情景参数!E17="原表",驱动复算!U13-驱动复算!W13,驱动复算!P13)</f>
        <v>9045.72228019992</v>
      </c>
      <c r="H584" s="4" t="n">
        <f aca="false">IF(情景参数!E17="原表",驱动复算!W13,F584*情景参数!C17)</f>
        <v>713.907789176563</v>
      </c>
      <c r="I584" s="4" t="n">
        <f aca="false">IF(情景参数!E17="原表",驱动复算!U13,G584+H584)</f>
        <v>9759.63006937648</v>
      </c>
      <c r="J584" s="4" t="n">
        <f aca="false">(F584-I584)*(1-情景参数!F17)</f>
        <v>4518.52571415477</v>
      </c>
      <c r="K584" s="4" t="n">
        <f aca="false">偿债原表!C14</f>
        <v>0</v>
      </c>
      <c r="L584" s="4" t="n">
        <f aca="false">偿债原表!D14</f>
        <v>673.2</v>
      </c>
      <c r="M584" s="4" t="n">
        <f aca="false">K584+L584</f>
        <v>673.2</v>
      </c>
      <c r="N584" s="4" t="n">
        <f aca="false">J584-M584</f>
        <v>3845.32571415477</v>
      </c>
      <c r="O584" s="4" t="n">
        <f aca="false">O583+N584</f>
        <v>-1805.71426374877</v>
      </c>
      <c r="P584" s="4" t="n">
        <f aca="false">MAX(0,-(R583+N584))</f>
        <v>0</v>
      </c>
      <c r="Q584" s="4" t="n">
        <f aca="false">Q583+P584</f>
        <v>17003.29775</v>
      </c>
      <c r="R584" s="4" t="n">
        <f aca="false">O584+Q584</f>
        <v>15197.5834862512</v>
      </c>
    </row>
    <row r="585" customFormat="false" ht="15" hidden="false" customHeight="false" outlineLevel="0" collapsed="false">
      <c r="A585" s="2" t="s">
        <v>55</v>
      </c>
      <c r="B585" s="2" t="s">
        <v>39</v>
      </c>
      <c r="C585" s="12" t="n">
        <v>13</v>
      </c>
      <c r="D585" s="12" t="n">
        <v>2036</v>
      </c>
      <c r="E585" s="4" t="n">
        <f aca="false">INDEX(驱动复算!A14:X14,1,情景参数!B17)</f>
        <v>15737.2495502188</v>
      </c>
      <c r="F585" s="4" t="n">
        <f aca="false">E585*(1-情景参数!D17)</f>
        <v>14950.3870727078</v>
      </c>
      <c r="G585" s="4" t="n">
        <f aca="false">IF(情景参数!E17="原表",驱动复算!U14-驱动复算!W14,驱动复算!P14)</f>
        <v>9317.09394860592</v>
      </c>
      <c r="H585" s="4" t="n">
        <f aca="false">IF(情景参数!E17="原表",驱动复算!W14,F585*情景参数!C17)</f>
        <v>747.519353635391</v>
      </c>
      <c r="I585" s="4" t="n">
        <f aca="false">IF(情景参数!E17="原表",驱动复算!U14,G585+H585)</f>
        <v>10064.6133022413</v>
      </c>
      <c r="J585" s="4" t="n">
        <f aca="false">(F585-I585)*(1-情景参数!F17)</f>
        <v>4885.77377046651</v>
      </c>
      <c r="K585" s="4" t="n">
        <f aca="false">偿债原表!C15</f>
        <v>0</v>
      </c>
      <c r="L585" s="4" t="n">
        <f aca="false">偿债原表!D15</f>
        <v>673.2</v>
      </c>
      <c r="M585" s="4" t="n">
        <f aca="false">K585+L585</f>
        <v>673.2</v>
      </c>
      <c r="N585" s="4" t="n">
        <f aca="false">J585-M585</f>
        <v>4212.57377046651</v>
      </c>
      <c r="O585" s="4" t="n">
        <f aca="false">O584+N585</f>
        <v>2406.85950671775</v>
      </c>
      <c r="P585" s="4" t="n">
        <f aca="false">MAX(0,-(R584+N585))</f>
        <v>0</v>
      </c>
      <c r="Q585" s="4" t="n">
        <f aca="false">Q584+P585</f>
        <v>17003.29775</v>
      </c>
      <c r="R585" s="4" t="n">
        <f aca="false">O585+Q585</f>
        <v>19410.1572567178</v>
      </c>
    </row>
    <row r="586" customFormat="false" ht="15" hidden="false" customHeight="false" outlineLevel="0" collapsed="false">
      <c r="A586" s="2" t="s">
        <v>55</v>
      </c>
      <c r="B586" s="2" t="s">
        <v>39</v>
      </c>
      <c r="C586" s="12" t="n">
        <v>14</v>
      </c>
      <c r="D586" s="12" t="n">
        <v>2037</v>
      </c>
      <c r="E586" s="4" t="n">
        <f aca="false">INDEX(驱动复算!A15:X15,1,情景参数!B17)</f>
        <v>16480.2420277297</v>
      </c>
      <c r="F586" s="4" t="n">
        <f aca="false">E586*(1-情景参数!D17)</f>
        <v>15656.2299263432</v>
      </c>
      <c r="G586" s="4" t="n">
        <f aca="false">IF(情景参数!E17="原表",驱动复算!U15-驱动复算!W15,驱动复算!P15)</f>
        <v>9596.6067670641</v>
      </c>
      <c r="H586" s="4" t="n">
        <f aca="false">IF(情景参数!E17="原表",驱动复算!W15,F586*情景参数!C17)</f>
        <v>782.811496317161</v>
      </c>
      <c r="I586" s="4" t="n">
        <f aca="false">IF(情景参数!E17="原表",驱动复算!U15,G586+H586)</f>
        <v>10379.4182633813</v>
      </c>
      <c r="J586" s="4" t="n">
        <f aca="false">(F586-I586)*(1-情景参数!F17)</f>
        <v>5276.81166296195</v>
      </c>
      <c r="K586" s="4" t="n">
        <f aca="false">偿债原表!C16</f>
        <v>1000</v>
      </c>
      <c r="L586" s="4" t="n">
        <f aca="false">偿债原表!D16</f>
        <v>673.2</v>
      </c>
      <c r="M586" s="4" t="n">
        <f aca="false">K586+L586</f>
        <v>1673.2</v>
      </c>
      <c r="N586" s="4" t="n">
        <f aca="false">J586-M586</f>
        <v>3603.61166296195</v>
      </c>
      <c r="O586" s="4" t="n">
        <f aca="false">O585+N586</f>
        <v>6010.4711696797</v>
      </c>
      <c r="P586" s="4" t="n">
        <f aca="false">MAX(0,-(R585+N586))</f>
        <v>0</v>
      </c>
      <c r="Q586" s="4" t="n">
        <f aca="false">Q585+P586</f>
        <v>17003.29775</v>
      </c>
      <c r="R586" s="4" t="n">
        <f aca="false">O586+Q586</f>
        <v>23013.7689196797</v>
      </c>
    </row>
    <row r="587" customFormat="false" ht="15" hidden="false" customHeight="false" outlineLevel="0" collapsed="false">
      <c r="A587" s="2" t="s">
        <v>55</v>
      </c>
      <c r="B587" s="2" t="s">
        <v>39</v>
      </c>
      <c r="C587" s="12" t="n">
        <v>15</v>
      </c>
      <c r="D587" s="12" t="n">
        <v>2038</v>
      </c>
      <c r="E587" s="4" t="n">
        <f aca="false">INDEX(驱动复算!A16:X16,1,情景参数!B17)</f>
        <v>16821.7888682843</v>
      </c>
      <c r="F587" s="4" t="n">
        <f aca="false">E587*(1-情景参数!D17)</f>
        <v>15980.6994248701</v>
      </c>
      <c r="G587" s="4" t="n">
        <f aca="false">IF(情景参数!E17="原表",驱动复算!U16-驱动复算!W16,驱动复算!P16)</f>
        <v>9884.50497007602</v>
      </c>
      <c r="H587" s="4" t="n">
        <f aca="false">IF(情景参数!E17="原表",驱动复算!W16,F587*情景参数!C17)</f>
        <v>799.034971243504</v>
      </c>
      <c r="I587" s="4" t="n">
        <f aca="false">IF(情景参数!E17="原表",驱动复算!U16,G587+H587)</f>
        <v>10683.5399413195</v>
      </c>
      <c r="J587" s="4" t="n">
        <f aca="false">(F587-I587)*(1-情景参数!F17)</f>
        <v>5297.15948355055</v>
      </c>
      <c r="K587" s="4" t="n">
        <f aca="false">偿债原表!C17</f>
        <v>0</v>
      </c>
      <c r="L587" s="4" t="n">
        <f aca="false">偿债原表!D17</f>
        <v>644</v>
      </c>
      <c r="M587" s="4" t="n">
        <f aca="false">K587+L587</f>
        <v>644</v>
      </c>
      <c r="N587" s="4" t="n">
        <f aca="false">J587-M587</f>
        <v>4653.15948355055</v>
      </c>
      <c r="O587" s="4" t="n">
        <f aca="false">O586+N587</f>
        <v>10663.6306532303</v>
      </c>
      <c r="P587" s="4" t="n">
        <f aca="false">MAX(0,-(R586+N587))</f>
        <v>0</v>
      </c>
      <c r="Q587" s="4" t="n">
        <f aca="false">Q586+P587</f>
        <v>17003.29775</v>
      </c>
      <c r="R587" s="4" t="n">
        <f aca="false">O587+Q587</f>
        <v>27666.9284032303</v>
      </c>
    </row>
    <row r="588" customFormat="false" ht="15" hidden="false" customHeight="false" outlineLevel="0" collapsed="false">
      <c r="A588" s="2" t="s">
        <v>55</v>
      </c>
      <c r="B588" s="2" t="s">
        <v>39</v>
      </c>
      <c r="C588" s="12" t="n">
        <v>16</v>
      </c>
      <c r="D588" s="12" t="n">
        <v>2039</v>
      </c>
      <c r="E588" s="4" t="n">
        <f aca="false">INDEX(驱动复算!A17:X17,1,情景参数!B17)</f>
        <v>17140.08684565</v>
      </c>
      <c r="F588" s="4" t="n">
        <f aca="false">E588*(1-情景参数!D17)</f>
        <v>16283.0825033675</v>
      </c>
      <c r="G588" s="4" t="n">
        <f aca="false">IF(情景参数!E17="原表",驱动复算!U17-驱动复算!W17,驱动复算!P17)</f>
        <v>10181.0401191783</v>
      </c>
      <c r="H588" s="4" t="n">
        <f aca="false">IF(情景参数!E17="原表",驱动复算!W17,F588*情景参数!C17)</f>
        <v>814.154125168374</v>
      </c>
      <c r="I588" s="4" t="n">
        <f aca="false">IF(情景参数!E17="原表",驱动复算!U17,G588+H588)</f>
        <v>10995.1942443467</v>
      </c>
      <c r="J588" s="4" t="n">
        <f aca="false">(F588-I588)*(1-情景参数!F17)</f>
        <v>5287.8882590208</v>
      </c>
      <c r="K588" s="4" t="n">
        <f aca="false">偿债原表!C18</f>
        <v>0</v>
      </c>
      <c r="L588" s="4" t="n">
        <f aca="false">偿债原表!D18</f>
        <v>644</v>
      </c>
      <c r="M588" s="4" t="n">
        <f aca="false">K588+L588</f>
        <v>644</v>
      </c>
      <c r="N588" s="4" t="n">
        <f aca="false">J588-M588</f>
        <v>4643.8882590208</v>
      </c>
      <c r="O588" s="4" t="n">
        <f aca="false">O587+N588</f>
        <v>15307.5189122511</v>
      </c>
      <c r="P588" s="4" t="n">
        <f aca="false">MAX(0,-(R587+N588))</f>
        <v>0</v>
      </c>
      <c r="Q588" s="4" t="n">
        <f aca="false">Q587+P588</f>
        <v>17003.29775</v>
      </c>
      <c r="R588" s="4" t="n">
        <f aca="false">O588+Q588</f>
        <v>32310.8166622511</v>
      </c>
    </row>
    <row r="589" customFormat="false" ht="15" hidden="false" customHeight="false" outlineLevel="0" collapsed="false">
      <c r="A589" s="2" t="s">
        <v>55</v>
      </c>
      <c r="B589" s="2" t="s">
        <v>39</v>
      </c>
      <c r="C589" s="12" t="n">
        <v>17</v>
      </c>
      <c r="D589" s="12" t="n">
        <v>2040</v>
      </c>
      <c r="E589" s="4" t="n">
        <f aca="false">INDEX(驱动复算!A18:X18,1,情景参数!B17)</f>
        <v>17464.750782563</v>
      </c>
      <c r="F589" s="4" t="n">
        <f aca="false">E589*(1-情景参数!D17)</f>
        <v>16591.5132434348</v>
      </c>
      <c r="G589" s="4" t="n">
        <f aca="false">IF(情景参数!E17="原表",驱动复算!U18-驱动复算!W18,驱动复算!P18)</f>
        <v>10486.4713227536</v>
      </c>
      <c r="H589" s="4" t="n">
        <f aca="false">IF(情景参数!E17="原表",驱动复算!W18,F589*情景参数!C17)</f>
        <v>829.575662171742</v>
      </c>
      <c r="I589" s="4" t="n">
        <f aca="false">IF(情景参数!E17="原表",驱动复算!U18,G589+H589)</f>
        <v>11316.0469849254</v>
      </c>
      <c r="J589" s="4" t="n">
        <f aca="false">(F589-I589)*(1-情景参数!F17)</f>
        <v>5275.46625850944</v>
      </c>
      <c r="K589" s="4" t="n">
        <f aca="false">偿债原表!C19</f>
        <v>0</v>
      </c>
      <c r="L589" s="4" t="n">
        <f aca="false">偿债原表!D19</f>
        <v>644</v>
      </c>
      <c r="M589" s="4" t="n">
        <f aca="false">K589+L589</f>
        <v>644</v>
      </c>
      <c r="N589" s="4" t="n">
        <f aca="false">J589-M589</f>
        <v>4631.46625850944</v>
      </c>
      <c r="O589" s="4" t="n">
        <f aca="false">O588+N589</f>
        <v>19938.9851707605</v>
      </c>
      <c r="P589" s="4" t="n">
        <f aca="false">MAX(0,-(R588+N589))</f>
        <v>0</v>
      </c>
      <c r="Q589" s="4" t="n">
        <f aca="false">Q588+P589</f>
        <v>17003.29775</v>
      </c>
      <c r="R589" s="4" t="n">
        <f aca="false">O589+Q589</f>
        <v>36942.2829207605</v>
      </c>
    </row>
    <row r="590" customFormat="false" ht="15" hidden="false" customHeight="false" outlineLevel="0" collapsed="false">
      <c r="A590" s="2" t="s">
        <v>55</v>
      </c>
      <c r="B590" s="2" t="s">
        <v>39</v>
      </c>
      <c r="C590" s="12" t="n">
        <v>18</v>
      </c>
      <c r="D590" s="12" t="n">
        <v>2041</v>
      </c>
      <c r="E590" s="4" t="n">
        <f aca="false">INDEX(驱动复算!A19:X19,1,情景参数!B17)</f>
        <v>17795.9079982142</v>
      </c>
      <c r="F590" s="4" t="n">
        <f aca="false">E590*(1-情景参数!D17)</f>
        <v>16906.1125983035</v>
      </c>
      <c r="G590" s="4" t="n">
        <f aca="false">IF(情景参数!E17="原表",驱动复算!U19-驱动复算!W19,驱动复算!P19)</f>
        <v>10801.0654624363</v>
      </c>
      <c r="H590" s="4" t="n">
        <f aca="false">IF(情景参数!E17="原表",驱动复算!W19,F590*情景参数!C17)</f>
        <v>845.305629915176</v>
      </c>
      <c r="I590" s="4" t="n">
        <f aca="false">IF(情景参数!E17="原表",驱动复算!U19,G590+H590)</f>
        <v>11646.3710923514</v>
      </c>
      <c r="J590" s="4" t="n">
        <f aca="false">(F590-I590)*(1-情景参数!F17)</f>
        <v>5259.74150595209</v>
      </c>
      <c r="K590" s="4" t="n">
        <f aca="false">偿债原表!C20</f>
        <v>20000</v>
      </c>
      <c r="L590" s="4" t="n">
        <f aca="false">偿债原表!D20</f>
        <v>644</v>
      </c>
      <c r="M590" s="4" t="n">
        <f aca="false">K590+L590</f>
        <v>20644</v>
      </c>
      <c r="N590" s="4" t="n">
        <f aca="false">J590-M590</f>
        <v>-15384.2584940479</v>
      </c>
      <c r="O590" s="4" t="n">
        <f aca="false">O589+N590</f>
        <v>4554.72667671259</v>
      </c>
      <c r="P590" s="4" t="n">
        <f aca="false">MAX(0,-(R589+N590))</f>
        <v>0</v>
      </c>
      <c r="Q590" s="4" t="n">
        <f aca="false">Q589+P590</f>
        <v>17003.29775</v>
      </c>
      <c r="R590" s="4" t="n">
        <f aca="false">O590+Q590</f>
        <v>21558.0244267126</v>
      </c>
    </row>
    <row r="591" customFormat="false" ht="15" hidden="false" customHeight="false" outlineLevel="0" collapsed="false">
      <c r="A591" s="2" t="s">
        <v>55</v>
      </c>
      <c r="B591" s="2" t="s">
        <v>40</v>
      </c>
      <c r="C591" s="12" t="n">
        <v>0</v>
      </c>
      <c r="D591" s="13" t="s">
        <v>248</v>
      </c>
      <c r="E591" s="4" t="n">
        <f aca="false">0</f>
        <v>0</v>
      </c>
      <c r="F591" s="4" t="n">
        <f aca="false">E591*(1-情景参数!D17)</f>
        <v>0</v>
      </c>
      <c r="G591" s="4" t="n">
        <f aca="false">0</f>
        <v>0</v>
      </c>
      <c r="H591" s="4" t="n">
        <f aca="false">0</f>
        <v>0</v>
      </c>
      <c r="I591" s="4" t="n">
        <f aca="false">0</f>
        <v>0</v>
      </c>
      <c r="J591" s="4" t="n">
        <f aca="false">(F591-I591)*(1-情景参数!F17)</f>
        <v>0</v>
      </c>
      <c r="K591" s="4" t="n">
        <f aca="false">偿债原表!F2</f>
        <v>0</v>
      </c>
      <c r="L591" s="4" t="n">
        <f aca="false">偿债原表!G2</f>
        <v>1374.2</v>
      </c>
      <c r="M591" s="4" t="n">
        <f aca="false">K591+L591</f>
        <v>1374.2</v>
      </c>
      <c r="N591" s="4" t="n">
        <f aca="false">J591-M591</f>
        <v>-1374.2</v>
      </c>
      <c r="O591" s="4" t="n">
        <f aca="false">N591</f>
        <v>-1374.2</v>
      </c>
      <c r="P591" s="4" t="n">
        <f aca="false">MAX(0,-N591)</f>
        <v>1374.2</v>
      </c>
      <c r="Q591" s="4" t="n">
        <f aca="false">P591</f>
        <v>1374.2</v>
      </c>
      <c r="R591" s="4" t="n">
        <f aca="false">O591+Q591</f>
        <v>0</v>
      </c>
    </row>
    <row r="592" customFormat="false" ht="15" hidden="false" customHeight="false" outlineLevel="0" collapsed="false">
      <c r="A592" s="2" t="s">
        <v>55</v>
      </c>
      <c r="B592" s="2" t="s">
        <v>40</v>
      </c>
      <c r="C592" s="12" t="n">
        <v>1</v>
      </c>
      <c r="D592" s="12" t="n">
        <v>2024</v>
      </c>
      <c r="E592" s="4" t="n">
        <f aca="false">INDEX(驱动复算!A2:X2,1,情景参数!B17)</f>
        <v>0</v>
      </c>
      <c r="F592" s="4" t="n">
        <f aca="false">E592*(1-情景参数!D17)</f>
        <v>0</v>
      </c>
      <c r="G592" s="4" t="n">
        <f aca="false">IF(情景参数!E17="原表",驱动复算!U2-驱动复算!W2,驱动复算!P2)</f>
        <v>0</v>
      </c>
      <c r="H592" s="4" t="n">
        <f aca="false">IF(情景参数!E17="原表",驱动复算!W2,F592*情景参数!C17)</f>
        <v>0</v>
      </c>
      <c r="I592" s="4" t="n">
        <f aca="false">IF(情景参数!E17="原表",驱动复算!U2,G592+H592)</f>
        <v>0</v>
      </c>
      <c r="J592" s="4" t="n">
        <f aca="false">(F592-I592)*(1-情景参数!F17)</f>
        <v>0</v>
      </c>
      <c r="K592" s="4" t="n">
        <f aca="false">偿债原表!F3</f>
        <v>0</v>
      </c>
      <c r="L592" s="4" t="n">
        <f aca="false">偿债原表!G3</f>
        <v>1107.58</v>
      </c>
      <c r="M592" s="4" t="n">
        <f aca="false">K592+L592</f>
        <v>1107.58</v>
      </c>
      <c r="N592" s="4" t="n">
        <f aca="false">J592-M592</f>
        <v>-1107.58</v>
      </c>
      <c r="O592" s="4" t="n">
        <f aca="false">O591+N592</f>
        <v>-2481.78</v>
      </c>
      <c r="P592" s="4" t="n">
        <f aca="false">MAX(0,-(R591+N592))</f>
        <v>1107.58</v>
      </c>
      <c r="Q592" s="4" t="n">
        <f aca="false">Q591+P592</f>
        <v>2481.78</v>
      </c>
      <c r="R592" s="4" t="n">
        <f aca="false">O592+Q592</f>
        <v>0</v>
      </c>
    </row>
    <row r="593" customFormat="false" ht="15" hidden="false" customHeight="false" outlineLevel="0" collapsed="false">
      <c r="A593" s="2" t="s">
        <v>55</v>
      </c>
      <c r="B593" s="2" t="s">
        <v>40</v>
      </c>
      <c r="C593" s="12" t="n">
        <v>2</v>
      </c>
      <c r="D593" s="12" t="n">
        <v>2025</v>
      </c>
      <c r="E593" s="4" t="n">
        <f aca="false">INDEX(驱动复算!A3:X3,1,情景参数!B17)</f>
        <v>0</v>
      </c>
      <c r="F593" s="4" t="n">
        <f aca="false">E593*(1-情景参数!D17)</f>
        <v>0</v>
      </c>
      <c r="G593" s="4" t="n">
        <f aca="false">IF(情景参数!E17="原表",驱动复算!U3-驱动复算!W3,驱动复算!P3)</f>
        <v>0</v>
      </c>
      <c r="H593" s="4" t="n">
        <f aca="false">IF(情景参数!E17="原表",驱动复算!W3,F593*情景参数!C17)</f>
        <v>0</v>
      </c>
      <c r="I593" s="4" t="n">
        <f aca="false">IF(情景参数!E17="原表",驱动复算!U3,G593+H593)</f>
        <v>0</v>
      </c>
      <c r="J593" s="4" t="n">
        <f aca="false">(F593-I593)*(1-情景参数!F17)</f>
        <v>0</v>
      </c>
      <c r="K593" s="4" t="n">
        <f aca="false">偿债原表!F4</f>
        <v>0</v>
      </c>
      <c r="L593" s="4" t="n">
        <f aca="false">偿债原表!G4</f>
        <v>1107.58</v>
      </c>
      <c r="M593" s="4" t="n">
        <f aca="false">K593+L593</f>
        <v>1107.58</v>
      </c>
      <c r="N593" s="4" t="n">
        <f aca="false">J593-M593</f>
        <v>-1107.58</v>
      </c>
      <c r="O593" s="4" t="n">
        <f aca="false">O592+N593</f>
        <v>-3589.36</v>
      </c>
      <c r="P593" s="4" t="n">
        <f aca="false">MAX(0,-(R592+N593))</f>
        <v>1107.58</v>
      </c>
      <c r="Q593" s="4" t="n">
        <f aca="false">Q592+P593</f>
        <v>3589.36</v>
      </c>
      <c r="R593" s="4" t="n">
        <f aca="false">O593+Q593</f>
        <v>0</v>
      </c>
    </row>
    <row r="594" customFormat="false" ht="15" hidden="false" customHeight="false" outlineLevel="0" collapsed="false">
      <c r="A594" s="2" t="s">
        <v>55</v>
      </c>
      <c r="B594" s="2" t="s">
        <v>40</v>
      </c>
      <c r="C594" s="12" t="n">
        <v>3</v>
      </c>
      <c r="D594" s="12" t="n">
        <v>2026</v>
      </c>
      <c r="E594" s="4" t="n">
        <f aca="false">INDEX(驱动复算!A4:X4,1,情景参数!B17)</f>
        <v>0</v>
      </c>
      <c r="F594" s="4" t="n">
        <f aca="false">E594*(1-情景参数!D17)</f>
        <v>0</v>
      </c>
      <c r="G594" s="4" t="n">
        <f aca="false">IF(情景参数!E17="原表",驱动复算!U4-驱动复算!W4,驱动复算!P4)</f>
        <v>0</v>
      </c>
      <c r="H594" s="4" t="n">
        <f aca="false">IF(情景参数!E17="原表",驱动复算!W4,F594*情景参数!C17)</f>
        <v>0</v>
      </c>
      <c r="I594" s="4" t="n">
        <f aca="false">IF(情景参数!E17="原表",驱动复算!U4,G594+H594)</f>
        <v>0</v>
      </c>
      <c r="J594" s="4" t="n">
        <f aca="false">(F594-I594)*(1-情景参数!F17)</f>
        <v>0</v>
      </c>
      <c r="K594" s="4" t="n">
        <f aca="false">偿债原表!F5</f>
        <v>0</v>
      </c>
      <c r="L594" s="4" t="n">
        <f aca="false">偿债原表!G5</f>
        <v>1107.58</v>
      </c>
      <c r="M594" s="4" t="n">
        <f aca="false">K594+L594</f>
        <v>1107.58</v>
      </c>
      <c r="N594" s="4" t="n">
        <f aca="false">J594-M594</f>
        <v>-1107.58</v>
      </c>
      <c r="O594" s="4" t="n">
        <f aca="false">O593+N594</f>
        <v>-4696.94</v>
      </c>
      <c r="P594" s="4" t="n">
        <f aca="false">MAX(0,-(R593+N594))</f>
        <v>1107.58</v>
      </c>
      <c r="Q594" s="4" t="n">
        <f aca="false">Q593+P594</f>
        <v>4696.94</v>
      </c>
      <c r="R594" s="4" t="n">
        <f aca="false">O594+Q594</f>
        <v>0</v>
      </c>
    </row>
    <row r="595" customFormat="false" ht="15" hidden="false" customHeight="false" outlineLevel="0" collapsed="false">
      <c r="A595" s="2" t="s">
        <v>55</v>
      </c>
      <c r="B595" s="2" t="s">
        <v>40</v>
      </c>
      <c r="C595" s="12" t="n">
        <v>4</v>
      </c>
      <c r="D595" s="12" t="n">
        <v>2027</v>
      </c>
      <c r="E595" s="4" t="n">
        <f aca="false">INDEX(驱动复算!A5:X5,1,情景参数!B17)</f>
        <v>0</v>
      </c>
      <c r="F595" s="4" t="n">
        <f aca="false">E595*(1-情景参数!D17)</f>
        <v>0</v>
      </c>
      <c r="G595" s="4" t="n">
        <f aca="false">IF(情景参数!E17="原表",驱动复算!U5-驱动复算!W5,驱动复算!P5)</f>
        <v>0</v>
      </c>
      <c r="H595" s="4" t="n">
        <f aca="false">IF(情景参数!E17="原表",驱动复算!W5,F595*情景参数!C17)</f>
        <v>0</v>
      </c>
      <c r="I595" s="4" t="n">
        <f aca="false">IF(情景参数!E17="原表",驱动复算!U5,G595+H595)</f>
        <v>0</v>
      </c>
      <c r="J595" s="4" t="n">
        <f aca="false">(F595-I595)*(1-情景参数!F17)</f>
        <v>0</v>
      </c>
      <c r="K595" s="4" t="n">
        <f aca="false">偿债原表!F6</f>
        <v>0</v>
      </c>
      <c r="L595" s="4" t="n">
        <f aca="false">偿债原表!G6</f>
        <v>1107.58</v>
      </c>
      <c r="M595" s="4" t="n">
        <f aca="false">K595+L595</f>
        <v>1107.58</v>
      </c>
      <c r="N595" s="4" t="n">
        <f aca="false">J595-M595</f>
        <v>-1107.58</v>
      </c>
      <c r="O595" s="4" t="n">
        <f aca="false">O594+N595</f>
        <v>-5804.52</v>
      </c>
      <c r="P595" s="4" t="n">
        <f aca="false">MAX(0,-(R594+N595))</f>
        <v>1107.58</v>
      </c>
      <c r="Q595" s="4" t="n">
        <f aca="false">Q594+P595</f>
        <v>5804.52</v>
      </c>
      <c r="R595" s="4" t="n">
        <f aca="false">O595+Q595</f>
        <v>0</v>
      </c>
    </row>
    <row r="596" customFormat="false" ht="15" hidden="false" customHeight="false" outlineLevel="0" collapsed="false">
      <c r="A596" s="2" t="s">
        <v>55</v>
      </c>
      <c r="B596" s="2" t="s">
        <v>40</v>
      </c>
      <c r="C596" s="12" t="n">
        <v>5</v>
      </c>
      <c r="D596" s="12" t="n">
        <v>2028</v>
      </c>
      <c r="E596" s="4" t="n">
        <f aca="false">INDEX(驱动复算!A6:X6,1,情景参数!B17)</f>
        <v>9076.9</v>
      </c>
      <c r="F596" s="4" t="n">
        <f aca="false">E596*(1-情景参数!D17)</f>
        <v>8623.055</v>
      </c>
      <c r="G596" s="4" t="n">
        <f aca="false">IF(情景参数!E17="原表",驱动复算!U6-驱动复算!W6,驱动复算!P6)</f>
        <v>7355</v>
      </c>
      <c r="H596" s="4" t="n">
        <f aca="false">IF(情景参数!E17="原表",驱动复算!W6,F596*情景参数!C17)</f>
        <v>431.15275</v>
      </c>
      <c r="I596" s="4" t="n">
        <f aca="false">IF(情景参数!E17="原表",驱动复算!U6,G596+H596)</f>
        <v>7786.15275</v>
      </c>
      <c r="J596" s="4" t="n">
        <f aca="false">(F596-I596)*(1-情景参数!F17)</f>
        <v>836.902249999998</v>
      </c>
      <c r="K596" s="4" t="n">
        <f aca="false">偿债原表!F7</f>
        <v>1400</v>
      </c>
      <c r="L596" s="4" t="n">
        <f aca="false">偿债原表!G7</f>
        <v>1107.58</v>
      </c>
      <c r="M596" s="4" t="n">
        <f aca="false">K596+L596</f>
        <v>2507.58</v>
      </c>
      <c r="N596" s="4" t="n">
        <f aca="false">J596-M596</f>
        <v>-1670.67775</v>
      </c>
      <c r="O596" s="4" t="n">
        <f aca="false">O595+N596</f>
        <v>-7475.19775</v>
      </c>
      <c r="P596" s="4" t="n">
        <f aca="false">MAX(0,-(R595+N596))</f>
        <v>1670.67775</v>
      </c>
      <c r="Q596" s="4" t="n">
        <f aca="false">Q595+P596</f>
        <v>7475.19775</v>
      </c>
      <c r="R596" s="4" t="n">
        <f aca="false">O596+Q596</f>
        <v>0</v>
      </c>
    </row>
    <row r="597" customFormat="false" ht="15" hidden="false" customHeight="false" outlineLevel="0" collapsed="false">
      <c r="A597" s="2" t="s">
        <v>55</v>
      </c>
      <c r="B597" s="2" t="s">
        <v>40</v>
      </c>
      <c r="C597" s="12" t="n">
        <v>6</v>
      </c>
      <c r="D597" s="12" t="n">
        <v>2029</v>
      </c>
      <c r="E597" s="4" t="n">
        <f aca="false">INDEX(驱动复算!A7:X7,1,情景参数!B17)</f>
        <v>9965.51</v>
      </c>
      <c r="F597" s="4" t="n">
        <f aca="false">E597*(1-情景参数!D17)</f>
        <v>9467.2345</v>
      </c>
      <c r="G597" s="4" t="n">
        <f aca="false">IF(情景参数!E17="原表",驱动复算!U7-驱动复算!W7,驱动复算!P7)</f>
        <v>7575.65</v>
      </c>
      <c r="H597" s="4" t="n">
        <f aca="false">IF(情景参数!E17="原表",驱动复算!W7,F597*情景参数!C17)</f>
        <v>473.361725</v>
      </c>
      <c r="I597" s="4" t="n">
        <f aca="false">IF(情景参数!E17="原表",驱动复算!U7,G597+H597)</f>
        <v>8049.011725</v>
      </c>
      <c r="J597" s="4" t="n">
        <f aca="false">(F597-I597)*(1-情景参数!F17)</f>
        <v>1418.222775</v>
      </c>
      <c r="K597" s="4" t="n">
        <f aca="false">偿债原表!F8</f>
        <v>0</v>
      </c>
      <c r="L597" s="4" t="n">
        <f aca="false">偿债原表!G8</f>
        <v>1075.8</v>
      </c>
      <c r="M597" s="4" t="n">
        <f aca="false">K597+L597</f>
        <v>1075.8</v>
      </c>
      <c r="N597" s="4" t="n">
        <f aca="false">J597-M597</f>
        <v>342.422774999998</v>
      </c>
      <c r="O597" s="4" t="n">
        <f aca="false">O596+N597</f>
        <v>-7132.774975</v>
      </c>
      <c r="P597" s="4" t="n">
        <f aca="false">MAX(0,-(R596+N597))</f>
        <v>0</v>
      </c>
      <c r="Q597" s="4" t="n">
        <f aca="false">Q596+P597</f>
        <v>7475.19775</v>
      </c>
      <c r="R597" s="4" t="n">
        <f aca="false">O597+Q597</f>
        <v>342.422774999998</v>
      </c>
    </row>
    <row r="598" customFormat="false" ht="15" hidden="false" customHeight="false" outlineLevel="0" collapsed="false">
      <c r="A598" s="2" t="s">
        <v>55</v>
      </c>
      <c r="B598" s="2" t="s">
        <v>40</v>
      </c>
      <c r="C598" s="12" t="n">
        <v>7</v>
      </c>
      <c r="D598" s="12" t="n">
        <v>2030</v>
      </c>
      <c r="E598" s="4" t="n">
        <f aca="false">INDEX(驱动复算!A8:X8,1,情景参数!B17)</f>
        <v>10884.01</v>
      </c>
      <c r="F598" s="4" t="n">
        <f aca="false">E598*(1-情景参数!D17)</f>
        <v>10339.8095</v>
      </c>
      <c r="G598" s="4" t="n">
        <f aca="false">IF(情景参数!E17="原表",驱动复算!U8-驱动复算!W8,驱动复算!P8)</f>
        <v>7802.9195</v>
      </c>
      <c r="H598" s="4" t="n">
        <f aca="false">IF(情景参数!E17="原表",驱动复算!W8,F598*情景参数!C17)</f>
        <v>516.990475</v>
      </c>
      <c r="I598" s="4" t="n">
        <f aca="false">IF(情景参数!E17="原表",驱动复算!U8,G598+H598)</f>
        <v>8319.909975</v>
      </c>
      <c r="J598" s="4" t="n">
        <f aca="false">(F598-I598)*(1-情景参数!F17)</f>
        <v>2019.899525</v>
      </c>
      <c r="K598" s="4" t="n">
        <f aca="false">偿债原表!F9</f>
        <v>0</v>
      </c>
      <c r="L598" s="4" t="n">
        <f aca="false">偿债原表!G9</f>
        <v>1075.8</v>
      </c>
      <c r="M598" s="4" t="n">
        <f aca="false">K598+L598</f>
        <v>1075.8</v>
      </c>
      <c r="N598" s="4" t="n">
        <f aca="false">J598-M598</f>
        <v>944.099525000001</v>
      </c>
      <c r="O598" s="4" t="n">
        <f aca="false">O597+N598</f>
        <v>-6188.67545</v>
      </c>
      <c r="P598" s="4" t="n">
        <f aca="false">MAX(0,-(R597+N598))</f>
        <v>0</v>
      </c>
      <c r="Q598" s="4" t="n">
        <f aca="false">Q597+P598</f>
        <v>7475.19775</v>
      </c>
      <c r="R598" s="4" t="n">
        <f aca="false">O598+Q598</f>
        <v>1286.5223</v>
      </c>
    </row>
    <row r="599" customFormat="false" ht="15" hidden="false" customHeight="false" outlineLevel="0" collapsed="false">
      <c r="A599" s="2" t="s">
        <v>55</v>
      </c>
      <c r="B599" s="2" t="s">
        <v>40</v>
      </c>
      <c r="C599" s="12" t="n">
        <v>8</v>
      </c>
      <c r="D599" s="12" t="n">
        <v>2031</v>
      </c>
      <c r="E599" s="4" t="n">
        <f aca="false">INDEX(驱动复算!A9:X9,1,情景参数!B17)</f>
        <v>11894.36</v>
      </c>
      <c r="F599" s="4" t="n">
        <f aca="false">E599*(1-情景参数!D17)</f>
        <v>11299.642</v>
      </c>
      <c r="G599" s="4" t="n">
        <f aca="false">IF(情景参数!E17="原表",驱动复算!U9-驱动复算!W9,驱动复算!P9)</f>
        <v>8037.007085</v>
      </c>
      <c r="H599" s="4" t="n">
        <f aca="false">IF(情景参数!E17="原表",驱动复算!W9,F599*情景参数!C17)</f>
        <v>564.9821</v>
      </c>
      <c r="I599" s="4" t="n">
        <f aca="false">IF(情景参数!E17="原表",驱动复算!U9,G599+H599)</f>
        <v>8601.989185</v>
      </c>
      <c r="J599" s="4" t="n">
        <f aca="false">(F599-I599)*(1-情景参数!F17)</f>
        <v>2697.652815</v>
      </c>
      <c r="K599" s="4" t="n">
        <f aca="false">偿债原表!F10</f>
        <v>0</v>
      </c>
      <c r="L599" s="4" t="n">
        <f aca="false">偿债原表!G10</f>
        <v>1075.8</v>
      </c>
      <c r="M599" s="4" t="n">
        <f aca="false">K599+L599</f>
        <v>1075.8</v>
      </c>
      <c r="N599" s="4" t="n">
        <f aca="false">J599-M599</f>
        <v>1621.852815</v>
      </c>
      <c r="O599" s="4" t="n">
        <f aca="false">O598+N599</f>
        <v>-4566.822635</v>
      </c>
      <c r="P599" s="4" t="n">
        <f aca="false">MAX(0,-(R598+N599))</f>
        <v>0</v>
      </c>
      <c r="Q599" s="4" t="n">
        <f aca="false">Q598+P599</f>
        <v>7475.19775</v>
      </c>
      <c r="R599" s="4" t="n">
        <f aca="false">O599+Q599</f>
        <v>2908.375115</v>
      </c>
    </row>
    <row r="600" customFormat="false" ht="15" hidden="false" customHeight="false" outlineLevel="0" collapsed="false">
      <c r="A600" s="2" t="s">
        <v>55</v>
      </c>
      <c r="B600" s="2" t="s">
        <v>40</v>
      </c>
      <c r="C600" s="12" t="n">
        <v>9</v>
      </c>
      <c r="D600" s="12" t="n">
        <v>2032</v>
      </c>
      <c r="E600" s="4" t="n">
        <f aca="false">INDEX(驱动复算!A10:X10,1,情景参数!B17)</f>
        <v>13005.745</v>
      </c>
      <c r="F600" s="4" t="n">
        <f aca="false">E600*(1-情景参数!D17)</f>
        <v>12355.45775</v>
      </c>
      <c r="G600" s="4" t="n">
        <f aca="false">IF(情景参数!E17="原表",驱动复算!U10-驱动复算!W10,驱动复算!P10)</f>
        <v>8278.11729755</v>
      </c>
      <c r="H600" s="4" t="n">
        <f aca="false">IF(情景参数!E17="原表",驱动复算!W10,F600*情景参数!C17)</f>
        <v>617.7728875</v>
      </c>
      <c r="I600" s="4" t="n">
        <f aca="false">IF(情景参数!E17="原表",驱动复算!U10,G600+H600)</f>
        <v>8895.89018505</v>
      </c>
      <c r="J600" s="4" t="n">
        <f aca="false">(F600-I600)*(1-情景参数!F17)</f>
        <v>3459.56756495</v>
      </c>
      <c r="K600" s="4" t="n">
        <f aca="false">偿债原表!F11</f>
        <v>2000</v>
      </c>
      <c r="L600" s="4" t="n">
        <f aca="false">偿债原表!G11</f>
        <v>1075.8</v>
      </c>
      <c r="M600" s="4" t="n">
        <f aca="false">K600+L600</f>
        <v>3075.8</v>
      </c>
      <c r="N600" s="4" t="n">
        <f aca="false">J600-M600</f>
        <v>383.767564950001</v>
      </c>
      <c r="O600" s="4" t="n">
        <f aca="false">O599+N600</f>
        <v>-4183.05507005</v>
      </c>
      <c r="P600" s="4" t="n">
        <f aca="false">MAX(0,-(R599+N600))</f>
        <v>0</v>
      </c>
      <c r="Q600" s="4" t="n">
        <f aca="false">Q599+P600</f>
        <v>7475.19775</v>
      </c>
      <c r="R600" s="4" t="n">
        <f aca="false">O600+Q600</f>
        <v>3292.14267995</v>
      </c>
    </row>
    <row r="601" customFormat="false" ht="15" hidden="false" customHeight="false" outlineLevel="0" collapsed="false">
      <c r="A601" s="2" t="s">
        <v>55</v>
      </c>
      <c r="B601" s="2" t="s">
        <v>40</v>
      </c>
      <c r="C601" s="12" t="n">
        <v>10</v>
      </c>
      <c r="D601" s="12" t="n">
        <v>2033</v>
      </c>
      <c r="E601" s="4" t="n">
        <f aca="false">INDEX(驱动复算!A11:X11,1,情景参数!B17)</f>
        <v>13713.89675</v>
      </c>
      <c r="F601" s="4" t="n">
        <f aca="false">E601*(1-情景参数!D17)</f>
        <v>13028.2019125</v>
      </c>
      <c r="G601" s="4" t="n">
        <f aca="false">IF(情景参数!E17="原表",驱动复算!U11-驱动复算!W11,驱动复算!P11)</f>
        <v>8526.4608164765</v>
      </c>
      <c r="H601" s="4" t="n">
        <f aca="false">IF(情景参数!E17="原表",驱动复算!W11,F601*情景参数!C17)</f>
        <v>651.410095625</v>
      </c>
      <c r="I601" s="4" t="n">
        <f aca="false">IF(情景参数!E17="原表",驱动复算!U11,G601+H601)</f>
        <v>9177.8709121015</v>
      </c>
      <c r="J601" s="4" t="n">
        <f aca="false">(F601-I601)*(1-情景参数!F17)</f>
        <v>3850.3310003985</v>
      </c>
      <c r="K601" s="4" t="n">
        <f aca="false">偿债原表!F12</f>
        <v>9600</v>
      </c>
      <c r="L601" s="4" t="n">
        <f aca="false">偿债原表!G12</f>
        <v>1018.8</v>
      </c>
      <c r="M601" s="4" t="n">
        <f aca="false">K601+L601</f>
        <v>10618.8</v>
      </c>
      <c r="N601" s="4" t="n">
        <f aca="false">J601-M601</f>
        <v>-6768.4689996015</v>
      </c>
      <c r="O601" s="4" t="n">
        <f aca="false">O600+N601</f>
        <v>-10951.5240696515</v>
      </c>
      <c r="P601" s="4" t="n">
        <f aca="false">MAX(0,-(R600+N601))</f>
        <v>3476.3263196515</v>
      </c>
      <c r="Q601" s="4" t="n">
        <f aca="false">Q600+P601</f>
        <v>10951.5240696515</v>
      </c>
      <c r="R601" s="4" t="n">
        <f aca="false">O601+Q601</f>
        <v>0</v>
      </c>
    </row>
    <row r="602" customFormat="false" ht="15" hidden="false" customHeight="false" outlineLevel="0" collapsed="false">
      <c r="A602" s="2" t="s">
        <v>55</v>
      </c>
      <c r="B602" s="2" t="s">
        <v>40</v>
      </c>
      <c r="C602" s="12" t="n">
        <v>11</v>
      </c>
      <c r="D602" s="12" t="n">
        <v>2034</v>
      </c>
      <c r="E602" s="4" t="n">
        <f aca="false">INDEX(驱动复算!A12:X12,1,情景参数!B17)</f>
        <v>14355.7215875</v>
      </c>
      <c r="F602" s="4" t="n">
        <f aca="false">E602*(1-情景参数!D17)</f>
        <v>13637.935508125</v>
      </c>
      <c r="G602" s="4" t="n">
        <f aca="false">IF(情景参数!E17="原表",驱动复算!U12-驱动复算!W12,驱动复算!P12)</f>
        <v>8782.2546409708</v>
      </c>
      <c r="H602" s="4" t="n">
        <f aca="false">IF(情景参数!E17="原表",驱动复算!W12,F602*情景参数!C17)</f>
        <v>681.89677540625</v>
      </c>
      <c r="I602" s="4" t="n">
        <f aca="false">IF(情景参数!E17="原表",驱动复算!U12,G602+H602)</f>
        <v>9464.15141637705</v>
      </c>
      <c r="J602" s="4" t="n">
        <f aca="false">(F602-I602)*(1-情景参数!F17)</f>
        <v>4173.78409174796</v>
      </c>
      <c r="K602" s="4" t="n">
        <f aca="false">偿债原表!F13</f>
        <v>0</v>
      </c>
      <c r="L602" s="4" t="n">
        <f aca="false">偿债原表!G13</f>
        <v>673.2</v>
      </c>
      <c r="M602" s="4" t="n">
        <f aca="false">K602+L602</f>
        <v>673.2</v>
      </c>
      <c r="N602" s="4" t="n">
        <f aca="false">J602-M602</f>
        <v>3500.58409174796</v>
      </c>
      <c r="O602" s="4" t="n">
        <f aca="false">O601+N602</f>
        <v>-7450.93997790354</v>
      </c>
      <c r="P602" s="4" t="n">
        <f aca="false">MAX(0,-(R601+N602))</f>
        <v>0</v>
      </c>
      <c r="Q602" s="4" t="n">
        <f aca="false">Q601+P602</f>
        <v>10951.5240696515</v>
      </c>
      <c r="R602" s="4" t="n">
        <f aca="false">O602+Q602</f>
        <v>3500.58409174796</v>
      </c>
    </row>
    <row r="603" customFormat="false" ht="15" hidden="false" customHeight="false" outlineLevel="0" collapsed="false">
      <c r="A603" s="2" t="s">
        <v>55</v>
      </c>
      <c r="B603" s="2" t="s">
        <v>40</v>
      </c>
      <c r="C603" s="12" t="n">
        <v>12</v>
      </c>
      <c r="D603" s="12" t="n">
        <v>2035</v>
      </c>
      <c r="E603" s="4" t="n">
        <f aca="false">INDEX(驱动复算!A13:X13,1,情景参数!B17)</f>
        <v>15029.637666875</v>
      </c>
      <c r="F603" s="4" t="n">
        <f aca="false">E603*(1-情景参数!D17)</f>
        <v>14278.1557835313</v>
      </c>
      <c r="G603" s="4" t="n">
        <f aca="false">IF(情景参数!E17="原表",驱动复算!U13-驱动复算!W13,驱动复算!P13)</f>
        <v>9045.72228019992</v>
      </c>
      <c r="H603" s="4" t="n">
        <f aca="false">IF(情景参数!E17="原表",驱动复算!W13,F603*情景参数!C17)</f>
        <v>713.907789176563</v>
      </c>
      <c r="I603" s="4" t="n">
        <f aca="false">IF(情景参数!E17="原表",驱动复算!U13,G603+H603)</f>
        <v>9759.63006937648</v>
      </c>
      <c r="J603" s="4" t="n">
        <f aca="false">(F603-I603)*(1-情景参数!F17)</f>
        <v>4518.52571415477</v>
      </c>
      <c r="K603" s="4" t="n">
        <f aca="false">偿债原表!F14</f>
        <v>0</v>
      </c>
      <c r="L603" s="4" t="n">
        <f aca="false">偿债原表!G14</f>
        <v>673.2</v>
      </c>
      <c r="M603" s="4" t="n">
        <f aca="false">K603+L603</f>
        <v>673.2</v>
      </c>
      <c r="N603" s="4" t="n">
        <f aca="false">J603-M603</f>
        <v>3845.32571415477</v>
      </c>
      <c r="O603" s="4" t="n">
        <f aca="false">O602+N603</f>
        <v>-3605.61426374876</v>
      </c>
      <c r="P603" s="4" t="n">
        <f aca="false">MAX(0,-(R602+N603))</f>
        <v>0</v>
      </c>
      <c r="Q603" s="4" t="n">
        <f aca="false">Q602+P603</f>
        <v>10951.5240696515</v>
      </c>
      <c r="R603" s="4" t="n">
        <f aca="false">O603+Q603</f>
        <v>7345.90980590273</v>
      </c>
    </row>
    <row r="604" customFormat="false" ht="15" hidden="false" customHeight="false" outlineLevel="0" collapsed="false">
      <c r="A604" s="2" t="s">
        <v>55</v>
      </c>
      <c r="B604" s="2" t="s">
        <v>40</v>
      </c>
      <c r="C604" s="12" t="n">
        <v>13</v>
      </c>
      <c r="D604" s="12" t="n">
        <v>2036</v>
      </c>
      <c r="E604" s="4" t="n">
        <f aca="false">INDEX(驱动复算!A14:X14,1,情景参数!B17)</f>
        <v>15737.2495502188</v>
      </c>
      <c r="F604" s="4" t="n">
        <f aca="false">E604*(1-情景参数!D17)</f>
        <v>14950.3870727078</v>
      </c>
      <c r="G604" s="4" t="n">
        <f aca="false">IF(情景参数!E17="原表",驱动复算!U14-驱动复算!W14,驱动复算!P14)</f>
        <v>9317.09394860592</v>
      </c>
      <c r="H604" s="4" t="n">
        <f aca="false">IF(情景参数!E17="原表",驱动复算!W14,F604*情景参数!C17)</f>
        <v>747.519353635391</v>
      </c>
      <c r="I604" s="4" t="n">
        <f aca="false">IF(情景参数!E17="原表",驱动复算!U14,G604+H604)</f>
        <v>10064.6133022413</v>
      </c>
      <c r="J604" s="4" t="n">
        <f aca="false">(F604-I604)*(1-情景参数!F17)</f>
        <v>4885.77377046651</v>
      </c>
      <c r="K604" s="4" t="n">
        <f aca="false">偿债原表!F15</f>
        <v>0</v>
      </c>
      <c r="L604" s="4" t="n">
        <f aca="false">偿债原表!G15</f>
        <v>673.2</v>
      </c>
      <c r="M604" s="4" t="n">
        <f aca="false">K604+L604</f>
        <v>673.2</v>
      </c>
      <c r="N604" s="4" t="n">
        <f aca="false">J604-M604</f>
        <v>4212.57377046651</v>
      </c>
      <c r="O604" s="4" t="n">
        <f aca="false">O603+N604</f>
        <v>606.959506717748</v>
      </c>
      <c r="P604" s="4" t="n">
        <f aca="false">MAX(0,-(R603+N604))</f>
        <v>0</v>
      </c>
      <c r="Q604" s="4" t="n">
        <f aca="false">Q603+P604</f>
        <v>10951.5240696515</v>
      </c>
      <c r="R604" s="4" t="n">
        <f aca="false">O604+Q604</f>
        <v>11558.4835763692</v>
      </c>
    </row>
    <row r="605" customFormat="false" ht="15" hidden="false" customHeight="false" outlineLevel="0" collapsed="false">
      <c r="A605" s="2" t="s">
        <v>55</v>
      </c>
      <c r="B605" s="2" t="s">
        <v>40</v>
      </c>
      <c r="C605" s="12" t="n">
        <v>14</v>
      </c>
      <c r="D605" s="12" t="n">
        <v>2037</v>
      </c>
      <c r="E605" s="4" t="n">
        <f aca="false">INDEX(驱动复算!A15:X15,1,情景参数!B17)</f>
        <v>16480.2420277297</v>
      </c>
      <c r="F605" s="4" t="n">
        <f aca="false">E605*(1-情景参数!D17)</f>
        <v>15656.2299263432</v>
      </c>
      <c r="G605" s="4" t="n">
        <f aca="false">IF(情景参数!E17="原表",驱动复算!U15-驱动复算!W15,驱动复算!P15)</f>
        <v>9596.6067670641</v>
      </c>
      <c r="H605" s="4" t="n">
        <f aca="false">IF(情景参数!E17="原表",驱动复算!W15,F605*情景参数!C17)</f>
        <v>782.811496317161</v>
      </c>
      <c r="I605" s="4" t="n">
        <f aca="false">IF(情景参数!E17="原表",驱动复算!U15,G605+H605)</f>
        <v>10379.4182633813</v>
      </c>
      <c r="J605" s="4" t="n">
        <f aca="false">(F605-I605)*(1-情景参数!F17)</f>
        <v>5276.81166296195</v>
      </c>
      <c r="K605" s="4" t="n">
        <f aca="false">偿债原表!F16</f>
        <v>1000</v>
      </c>
      <c r="L605" s="4" t="n">
        <f aca="false">偿债原表!G16</f>
        <v>673.2</v>
      </c>
      <c r="M605" s="4" t="n">
        <f aca="false">K605+L605</f>
        <v>1673.2</v>
      </c>
      <c r="N605" s="4" t="n">
        <f aca="false">J605-M605</f>
        <v>3603.61166296195</v>
      </c>
      <c r="O605" s="4" t="n">
        <f aca="false">O604+N605</f>
        <v>4210.5711696797</v>
      </c>
      <c r="P605" s="4" t="n">
        <f aca="false">MAX(0,-(R604+N605))</f>
        <v>0</v>
      </c>
      <c r="Q605" s="4" t="n">
        <f aca="false">Q604+P605</f>
        <v>10951.5240696515</v>
      </c>
      <c r="R605" s="4" t="n">
        <f aca="false">O605+Q605</f>
        <v>15162.0952393312</v>
      </c>
    </row>
    <row r="606" customFormat="false" ht="15" hidden="false" customHeight="false" outlineLevel="0" collapsed="false">
      <c r="A606" s="2" t="s">
        <v>55</v>
      </c>
      <c r="B606" s="2" t="s">
        <v>40</v>
      </c>
      <c r="C606" s="12" t="n">
        <v>15</v>
      </c>
      <c r="D606" s="12" t="n">
        <v>2038</v>
      </c>
      <c r="E606" s="4" t="n">
        <f aca="false">INDEX(驱动复算!A16:X16,1,情景参数!B17)</f>
        <v>16821.7888682843</v>
      </c>
      <c r="F606" s="4" t="n">
        <f aca="false">E606*(1-情景参数!D17)</f>
        <v>15980.6994248701</v>
      </c>
      <c r="G606" s="4" t="n">
        <f aca="false">IF(情景参数!E17="原表",驱动复算!U16-驱动复算!W16,驱动复算!P16)</f>
        <v>9884.50497007602</v>
      </c>
      <c r="H606" s="4" t="n">
        <f aca="false">IF(情景参数!E17="原表",驱动复算!W16,F606*情景参数!C17)</f>
        <v>799.034971243504</v>
      </c>
      <c r="I606" s="4" t="n">
        <f aca="false">IF(情景参数!E17="原表",驱动复算!U16,G606+H606)</f>
        <v>10683.5399413195</v>
      </c>
      <c r="J606" s="4" t="n">
        <f aca="false">(F606-I606)*(1-情景参数!F17)</f>
        <v>5297.15948355055</v>
      </c>
      <c r="K606" s="4" t="n">
        <f aca="false">偿债原表!F17</f>
        <v>0</v>
      </c>
      <c r="L606" s="4" t="n">
        <f aca="false">偿债原表!G17</f>
        <v>644</v>
      </c>
      <c r="M606" s="4" t="n">
        <f aca="false">K606+L606</f>
        <v>644</v>
      </c>
      <c r="N606" s="4" t="n">
        <f aca="false">J606-M606</f>
        <v>4653.15948355055</v>
      </c>
      <c r="O606" s="4" t="n">
        <f aca="false">O605+N606</f>
        <v>8863.73065323025</v>
      </c>
      <c r="P606" s="4" t="n">
        <f aca="false">MAX(0,-(R605+N606))</f>
        <v>0</v>
      </c>
      <c r="Q606" s="4" t="n">
        <f aca="false">Q605+P606</f>
        <v>10951.5240696515</v>
      </c>
      <c r="R606" s="4" t="n">
        <f aca="false">O606+Q606</f>
        <v>19815.2547228818</v>
      </c>
    </row>
    <row r="607" customFormat="false" ht="15" hidden="false" customHeight="false" outlineLevel="0" collapsed="false">
      <c r="A607" s="2" t="s">
        <v>55</v>
      </c>
      <c r="B607" s="2" t="s">
        <v>40</v>
      </c>
      <c r="C607" s="12" t="n">
        <v>16</v>
      </c>
      <c r="D607" s="12" t="n">
        <v>2039</v>
      </c>
      <c r="E607" s="4" t="n">
        <f aca="false">INDEX(驱动复算!A17:X17,1,情景参数!B17)</f>
        <v>17140.08684565</v>
      </c>
      <c r="F607" s="4" t="n">
        <f aca="false">E607*(1-情景参数!D17)</f>
        <v>16283.0825033675</v>
      </c>
      <c r="G607" s="4" t="n">
        <f aca="false">IF(情景参数!E17="原表",驱动复算!U17-驱动复算!W17,驱动复算!P17)</f>
        <v>10181.0401191783</v>
      </c>
      <c r="H607" s="4" t="n">
        <f aca="false">IF(情景参数!E17="原表",驱动复算!W17,F607*情景参数!C17)</f>
        <v>814.154125168374</v>
      </c>
      <c r="I607" s="4" t="n">
        <f aca="false">IF(情景参数!E17="原表",驱动复算!U17,G607+H607)</f>
        <v>10995.1942443467</v>
      </c>
      <c r="J607" s="4" t="n">
        <f aca="false">(F607-I607)*(1-情景参数!F17)</f>
        <v>5287.8882590208</v>
      </c>
      <c r="K607" s="4" t="n">
        <f aca="false">偿债原表!F18</f>
        <v>0</v>
      </c>
      <c r="L607" s="4" t="n">
        <f aca="false">偿债原表!G18</f>
        <v>644</v>
      </c>
      <c r="M607" s="4" t="n">
        <f aca="false">K607+L607</f>
        <v>644</v>
      </c>
      <c r="N607" s="4" t="n">
        <f aca="false">J607-M607</f>
        <v>4643.8882590208</v>
      </c>
      <c r="O607" s="4" t="n">
        <f aca="false">O606+N607</f>
        <v>13507.6189122511</v>
      </c>
      <c r="P607" s="4" t="n">
        <f aca="false">MAX(0,-(R606+N607))</f>
        <v>0</v>
      </c>
      <c r="Q607" s="4" t="n">
        <f aca="false">Q606+P607</f>
        <v>10951.5240696515</v>
      </c>
      <c r="R607" s="4" t="n">
        <f aca="false">O607+Q607</f>
        <v>24459.1429819026</v>
      </c>
    </row>
    <row r="608" customFormat="false" ht="15" hidden="false" customHeight="false" outlineLevel="0" collapsed="false">
      <c r="A608" s="2" t="s">
        <v>55</v>
      </c>
      <c r="B608" s="2" t="s">
        <v>40</v>
      </c>
      <c r="C608" s="12" t="n">
        <v>17</v>
      </c>
      <c r="D608" s="12" t="n">
        <v>2040</v>
      </c>
      <c r="E608" s="4" t="n">
        <f aca="false">INDEX(驱动复算!A18:X18,1,情景参数!B17)</f>
        <v>17464.750782563</v>
      </c>
      <c r="F608" s="4" t="n">
        <f aca="false">E608*(1-情景参数!D17)</f>
        <v>16591.5132434348</v>
      </c>
      <c r="G608" s="4" t="n">
        <f aca="false">IF(情景参数!E17="原表",驱动复算!U18-驱动复算!W18,驱动复算!P18)</f>
        <v>10486.4713227536</v>
      </c>
      <c r="H608" s="4" t="n">
        <f aca="false">IF(情景参数!E17="原表",驱动复算!W18,F608*情景参数!C17)</f>
        <v>829.575662171742</v>
      </c>
      <c r="I608" s="4" t="n">
        <f aca="false">IF(情景参数!E17="原表",驱动复算!U18,G608+H608)</f>
        <v>11316.0469849254</v>
      </c>
      <c r="J608" s="4" t="n">
        <f aca="false">(F608-I608)*(1-情景参数!F17)</f>
        <v>5275.46625850944</v>
      </c>
      <c r="K608" s="4" t="n">
        <f aca="false">偿债原表!F19</f>
        <v>0</v>
      </c>
      <c r="L608" s="4" t="n">
        <f aca="false">偿债原表!G19</f>
        <v>644</v>
      </c>
      <c r="M608" s="4" t="n">
        <f aca="false">K608+L608</f>
        <v>644</v>
      </c>
      <c r="N608" s="4" t="n">
        <f aca="false">J608-M608</f>
        <v>4631.46625850944</v>
      </c>
      <c r="O608" s="4" t="n">
        <f aca="false">O607+N608</f>
        <v>18139.0851707605</v>
      </c>
      <c r="P608" s="4" t="n">
        <f aca="false">MAX(0,-(R607+N608))</f>
        <v>0</v>
      </c>
      <c r="Q608" s="4" t="n">
        <f aca="false">Q607+P608</f>
        <v>10951.5240696515</v>
      </c>
      <c r="R608" s="4" t="n">
        <f aca="false">O608+Q608</f>
        <v>29090.609240412</v>
      </c>
    </row>
    <row r="609" customFormat="false" ht="15" hidden="false" customHeight="false" outlineLevel="0" collapsed="false">
      <c r="A609" s="2" t="s">
        <v>55</v>
      </c>
      <c r="B609" s="2" t="s">
        <v>40</v>
      </c>
      <c r="C609" s="12" t="n">
        <v>18</v>
      </c>
      <c r="D609" s="12" t="n">
        <v>2041</v>
      </c>
      <c r="E609" s="4" t="n">
        <f aca="false">INDEX(驱动复算!A19:X19,1,情景参数!B17)</f>
        <v>17795.9079982142</v>
      </c>
      <c r="F609" s="4" t="n">
        <f aca="false">E609*(1-情景参数!D17)</f>
        <v>16906.1125983035</v>
      </c>
      <c r="G609" s="4" t="n">
        <f aca="false">IF(情景参数!E17="原表",驱动复算!U19-驱动复算!W19,驱动复算!P19)</f>
        <v>10801.0654624363</v>
      </c>
      <c r="H609" s="4" t="n">
        <f aca="false">IF(情景参数!E17="原表",驱动复算!W19,F609*情景参数!C17)</f>
        <v>845.305629915176</v>
      </c>
      <c r="I609" s="4" t="n">
        <f aca="false">IF(情景参数!E17="原表",驱动复算!U19,G609+H609)</f>
        <v>11646.3710923514</v>
      </c>
      <c r="J609" s="4" t="n">
        <f aca="false">(F609-I609)*(1-情景参数!F17)</f>
        <v>5259.74150595209</v>
      </c>
      <c r="K609" s="4" t="n">
        <f aca="false">偿债原表!F20</f>
        <v>20000</v>
      </c>
      <c r="L609" s="4" t="n">
        <f aca="false">偿债原表!G20</f>
        <v>644</v>
      </c>
      <c r="M609" s="4" t="n">
        <f aca="false">K609+L609</f>
        <v>20644</v>
      </c>
      <c r="N609" s="4" t="n">
        <f aca="false">J609-M609</f>
        <v>-15384.2584940479</v>
      </c>
      <c r="O609" s="4" t="n">
        <f aca="false">O608+N609</f>
        <v>2754.82667671258</v>
      </c>
      <c r="P609" s="4" t="n">
        <f aca="false">MAX(0,-(R608+N609))</f>
        <v>0</v>
      </c>
      <c r="Q609" s="4" t="n">
        <f aca="false">Q608+P609</f>
        <v>10951.5240696515</v>
      </c>
      <c r="R609" s="4" t="n">
        <f aca="false">O609+Q609</f>
        <v>13706.3507463641</v>
      </c>
    </row>
    <row r="610" customFormat="false" ht="15" hidden="false" customHeight="false" outlineLevel="0" collapsed="false">
      <c r="A610" s="2" t="s">
        <v>56</v>
      </c>
      <c r="B610" s="2" t="s">
        <v>39</v>
      </c>
      <c r="C610" s="12" t="n">
        <v>0</v>
      </c>
      <c r="D610" s="13" t="s">
        <v>248</v>
      </c>
      <c r="E610" s="4" t="n">
        <f aca="false">0</f>
        <v>0</v>
      </c>
      <c r="F610" s="4" t="n">
        <f aca="false">E610*(1-情景参数!D18)</f>
        <v>0</v>
      </c>
      <c r="G610" s="4" t="n">
        <f aca="false">0</f>
        <v>0</v>
      </c>
      <c r="H610" s="4" t="n">
        <f aca="false">0</f>
        <v>0</v>
      </c>
      <c r="I610" s="4" t="n">
        <f aca="false">0</f>
        <v>0</v>
      </c>
      <c r="J610" s="4" t="n">
        <f aca="false">(F610-I610)*(1-情景参数!F18)</f>
        <v>0</v>
      </c>
      <c r="K610" s="4" t="n">
        <f aca="false">偿债原表!C2</f>
        <v>0</v>
      </c>
      <c r="L610" s="4" t="n">
        <f aca="false">偿债原表!D2</f>
        <v>1374.2</v>
      </c>
      <c r="M610" s="4" t="n">
        <f aca="false">K610+L610</f>
        <v>1374.2</v>
      </c>
      <c r="N610" s="4" t="n">
        <f aca="false">J610-M610</f>
        <v>-1374.2</v>
      </c>
      <c r="O610" s="4" t="n">
        <f aca="false">N610</f>
        <v>-1374.2</v>
      </c>
      <c r="P610" s="4" t="n">
        <f aca="false">MAX(0,-N610)</f>
        <v>1374.2</v>
      </c>
      <c r="Q610" s="4" t="n">
        <f aca="false">P610</f>
        <v>1374.2</v>
      </c>
      <c r="R610" s="4" t="n">
        <f aca="false">O610+Q610</f>
        <v>0</v>
      </c>
    </row>
    <row r="611" customFormat="false" ht="15" hidden="false" customHeight="false" outlineLevel="0" collapsed="false">
      <c r="A611" s="2" t="s">
        <v>56</v>
      </c>
      <c r="B611" s="2" t="s">
        <v>39</v>
      </c>
      <c r="C611" s="12" t="n">
        <v>1</v>
      </c>
      <c r="D611" s="12" t="n">
        <v>2024</v>
      </c>
      <c r="E611" s="4" t="n">
        <f aca="false">INDEX(驱动复算!A2:X2,1,情景参数!B18)</f>
        <v>0</v>
      </c>
      <c r="F611" s="4" t="n">
        <f aca="false">E611*(1-情景参数!D18)</f>
        <v>0</v>
      </c>
      <c r="G611" s="4" t="n">
        <f aca="false">IF(情景参数!E18="原表",驱动复算!U2-驱动复算!W2,驱动复算!P2)</f>
        <v>0</v>
      </c>
      <c r="H611" s="4" t="n">
        <f aca="false">IF(情景参数!E18="原表",驱动复算!W2,F611*情景参数!C18)</f>
        <v>0</v>
      </c>
      <c r="I611" s="4" t="n">
        <f aca="false">IF(情景参数!E18="原表",驱动复算!U2,G611+H611)</f>
        <v>0</v>
      </c>
      <c r="J611" s="4" t="n">
        <f aca="false">(F611-I611)*(1-情景参数!F18)</f>
        <v>0</v>
      </c>
      <c r="K611" s="4" t="n">
        <f aca="false">偿债原表!C3</f>
        <v>0</v>
      </c>
      <c r="L611" s="4" t="n">
        <f aca="false">偿债原表!D3</f>
        <v>1093.2</v>
      </c>
      <c r="M611" s="4" t="n">
        <f aca="false">K611+L611</f>
        <v>1093.2</v>
      </c>
      <c r="N611" s="4" t="n">
        <f aca="false">J611-M611</f>
        <v>-1093.2</v>
      </c>
      <c r="O611" s="4" t="n">
        <f aca="false">O610+N611</f>
        <v>-2467.4</v>
      </c>
      <c r="P611" s="4" t="n">
        <f aca="false">MAX(0,-(R610+N611))</f>
        <v>1093.2</v>
      </c>
      <c r="Q611" s="4" t="n">
        <f aca="false">Q610+P611</f>
        <v>2467.4</v>
      </c>
      <c r="R611" s="4" t="n">
        <f aca="false">O611+Q611</f>
        <v>0</v>
      </c>
    </row>
    <row r="612" customFormat="false" ht="15" hidden="false" customHeight="false" outlineLevel="0" collapsed="false">
      <c r="A612" s="2" t="s">
        <v>56</v>
      </c>
      <c r="B612" s="2" t="s">
        <v>39</v>
      </c>
      <c r="C612" s="12" t="n">
        <v>2</v>
      </c>
      <c r="D612" s="12" t="n">
        <v>2025</v>
      </c>
      <c r="E612" s="4" t="n">
        <f aca="false">INDEX(驱动复算!A3:X3,1,情景参数!B18)</f>
        <v>0</v>
      </c>
      <c r="F612" s="4" t="n">
        <f aca="false">E612*(1-情景参数!D18)</f>
        <v>0</v>
      </c>
      <c r="G612" s="4" t="n">
        <f aca="false">IF(情景参数!E18="原表",驱动复算!U3-驱动复算!W3,驱动复算!P3)</f>
        <v>0</v>
      </c>
      <c r="H612" s="4" t="n">
        <f aca="false">IF(情景参数!E18="原表",驱动复算!W3,F612*情景参数!C18)</f>
        <v>0</v>
      </c>
      <c r="I612" s="4" t="n">
        <f aca="false">IF(情景参数!E18="原表",驱动复算!U3,G612+H612)</f>
        <v>0</v>
      </c>
      <c r="J612" s="4" t="n">
        <f aca="false">(F612-I612)*(1-情景参数!F18)</f>
        <v>0</v>
      </c>
      <c r="K612" s="4" t="n">
        <f aca="false">偿债原表!C4</f>
        <v>0</v>
      </c>
      <c r="L612" s="4" t="n">
        <f aca="false">偿债原表!D4</f>
        <v>1093.2</v>
      </c>
      <c r="M612" s="4" t="n">
        <f aca="false">K612+L612</f>
        <v>1093.2</v>
      </c>
      <c r="N612" s="4" t="n">
        <f aca="false">J612-M612</f>
        <v>-1093.2</v>
      </c>
      <c r="O612" s="4" t="n">
        <f aca="false">O611+N612</f>
        <v>-3560.6</v>
      </c>
      <c r="P612" s="4" t="n">
        <f aca="false">MAX(0,-(R611+N612))</f>
        <v>1093.2</v>
      </c>
      <c r="Q612" s="4" t="n">
        <f aca="false">Q611+P612</f>
        <v>3560.6</v>
      </c>
      <c r="R612" s="4" t="n">
        <f aca="false">O612+Q612</f>
        <v>0</v>
      </c>
    </row>
    <row r="613" customFormat="false" ht="15" hidden="false" customHeight="false" outlineLevel="0" collapsed="false">
      <c r="A613" s="2" t="s">
        <v>56</v>
      </c>
      <c r="B613" s="2" t="s">
        <v>39</v>
      </c>
      <c r="C613" s="12" t="n">
        <v>3</v>
      </c>
      <c r="D613" s="12" t="n">
        <v>2026</v>
      </c>
      <c r="E613" s="4" t="n">
        <f aca="false">INDEX(驱动复算!A4:X4,1,情景参数!B18)</f>
        <v>0</v>
      </c>
      <c r="F613" s="4" t="n">
        <f aca="false">E613*(1-情景参数!D18)</f>
        <v>0</v>
      </c>
      <c r="G613" s="4" t="n">
        <f aca="false">IF(情景参数!E18="原表",驱动复算!U4-驱动复算!W4,驱动复算!P4)</f>
        <v>0</v>
      </c>
      <c r="H613" s="4" t="n">
        <f aca="false">IF(情景参数!E18="原表",驱动复算!W4,F613*情景参数!C18)</f>
        <v>0</v>
      </c>
      <c r="I613" s="4" t="n">
        <f aca="false">IF(情景参数!E18="原表",驱动复算!U4,G613+H613)</f>
        <v>0</v>
      </c>
      <c r="J613" s="4" t="n">
        <f aca="false">(F613-I613)*(1-情景参数!F18)</f>
        <v>0</v>
      </c>
      <c r="K613" s="4" t="n">
        <f aca="false">偿债原表!C5</f>
        <v>0</v>
      </c>
      <c r="L613" s="4" t="n">
        <f aca="false">偿债原表!D5</f>
        <v>1093.2</v>
      </c>
      <c r="M613" s="4" t="n">
        <f aca="false">K613+L613</f>
        <v>1093.2</v>
      </c>
      <c r="N613" s="4" t="n">
        <f aca="false">J613-M613</f>
        <v>-1093.2</v>
      </c>
      <c r="O613" s="4" t="n">
        <f aca="false">O612+N613</f>
        <v>-4653.8</v>
      </c>
      <c r="P613" s="4" t="n">
        <f aca="false">MAX(0,-(R612+N613))</f>
        <v>1093.2</v>
      </c>
      <c r="Q613" s="4" t="n">
        <f aca="false">Q612+P613</f>
        <v>4653.8</v>
      </c>
      <c r="R613" s="4" t="n">
        <f aca="false">O613+Q613</f>
        <v>0</v>
      </c>
    </row>
    <row r="614" customFormat="false" ht="15" hidden="false" customHeight="false" outlineLevel="0" collapsed="false">
      <c r="A614" s="2" t="s">
        <v>56</v>
      </c>
      <c r="B614" s="2" t="s">
        <v>39</v>
      </c>
      <c r="C614" s="12" t="n">
        <v>4</v>
      </c>
      <c r="D614" s="12" t="n">
        <v>2027</v>
      </c>
      <c r="E614" s="4" t="n">
        <f aca="false">INDEX(驱动复算!A5:X5,1,情景参数!B18)</f>
        <v>0</v>
      </c>
      <c r="F614" s="4" t="n">
        <f aca="false">E614*(1-情景参数!D18)</f>
        <v>0</v>
      </c>
      <c r="G614" s="4" t="n">
        <f aca="false">IF(情景参数!E18="原表",驱动复算!U5-驱动复算!W5,驱动复算!P5)</f>
        <v>0</v>
      </c>
      <c r="H614" s="4" t="n">
        <f aca="false">IF(情景参数!E18="原表",驱动复算!W5,F614*情景参数!C18)</f>
        <v>0</v>
      </c>
      <c r="I614" s="4" t="n">
        <f aca="false">IF(情景参数!E18="原表",驱动复算!U5,G614+H614)</f>
        <v>0</v>
      </c>
      <c r="J614" s="4" t="n">
        <f aca="false">(F614-I614)*(1-情景参数!F18)</f>
        <v>0</v>
      </c>
      <c r="K614" s="4" t="n">
        <f aca="false">偿债原表!C6</f>
        <v>0</v>
      </c>
      <c r="L614" s="4" t="n">
        <f aca="false">偿债原表!D6</f>
        <v>1093.2</v>
      </c>
      <c r="M614" s="4" t="n">
        <f aca="false">K614+L614</f>
        <v>1093.2</v>
      </c>
      <c r="N614" s="4" t="n">
        <f aca="false">J614-M614</f>
        <v>-1093.2</v>
      </c>
      <c r="O614" s="4" t="n">
        <f aca="false">O613+N614</f>
        <v>-5747</v>
      </c>
      <c r="P614" s="4" t="n">
        <f aca="false">MAX(0,-(R613+N614))</f>
        <v>1093.2</v>
      </c>
      <c r="Q614" s="4" t="n">
        <f aca="false">Q613+P614</f>
        <v>5747</v>
      </c>
      <c r="R614" s="4" t="n">
        <f aca="false">O614+Q614</f>
        <v>0</v>
      </c>
    </row>
    <row r="615" customFormat="false" ht="15" hidden="false" customHeight="false" outlineLevel="0" collapsed="false">
      <c r="A615" s="2" t="s">
        <v>56</v>
      </c>
      <c r="B615" s="2" t="s">
        <v>39</v>
      </c>
      <c r="C615" s="12" t="n">
        <v>5</v>
      </c>
      <c r="D615" s="12" t="n">
        <v>2028</v>
      </c>
      <c r="E615" s="4" t="n">
        <f aca="false">INDEX(驱动复算!A6:X6,1,情景参数!B18)</f>
        <v>9076.9048</v>
      </c>
      <c r="F615" s="4" t="n">
        <f aca="false">E615*(1-情景参数!D18)</f>
        <v>9076.9048</v>
      </c>
      <c r="G615" s="4" t="n">
        <f aca="false">IF(情景参数!E18="原表",驱动复算!U6-驱动复算!W6,驱动复算!P6)</f>
        <v>7355</v>
      </c>
      <c r="H615" s="4" t="n">
        <f aca="false">IF(情景参数!E18="原表",驱动复算!W6,F615*情景参数!C18)</f>
        <v>181.538096</v>
      </c>
      <c r="I615" s="4" t="n">
        <f aca="false">IF(情景参数!E18="原表",驱动复算!U6,G615+H615)</f>
        <v>7536.538096</v>
      </c>
      <c r="J615" s="4" t="n">
        <f aca="false">(F615-I615)*(1-情景参数!F18)</f>
        <v>1540.366704</v>
      </c>
      <c r="K615" s="4" t="n">
        <f aca="false">偿债原表!C7</f>
        <v>11000</v>
      </c>
      <c r="L615" s="4" t="n">
        <f aca="false">偿债原表!D7</f>
        <v>1093.2</v>
      </c>
      <c r="M615" s="4" t="n">
        <f aca="false">K615+L615</f>
        <v>12093.2</v>
      </c>
      <c r="N615" s="4" t="n">
        <f aca="false">J615-M615</f>
        <v>-10552.833296</v>
      </c>
      <c r="O615" s="4" t="n">
        <f aca="false">O614+N615</f>
        <v>-16299.833296</v>
      </c>
      <c r="P615" s="4" t="n">
        <f aca="false">MAX(0,-(R614+N615))</f>
        <v>10552.833296</v>
      </c>
      <c r="Q615" s="4" t="n">
        <f aca="false">Q614+P615</f>
        <v>16299.833296</v>
      </c>
      <c r="R615" s="4" t="n">
        <f aca="false">O615+Q615</f>
        <v>0</v>
      </c>
    </row>
    <row r="616" customFormat="false" ht="15" hidden="false" customHeight="false" outlineLevel="0" collapsed="false">
      <c r="A616" s="2" t="s">
        <v>56</v>
      </c>
      <c r="B616" s="2" t="s">
        <v>39</v>
      </c>
      <c r="C616" s="12" t="n">
        <v>6</v>
      </c>
      <c r="D616" s="12" t="n">
        <v>2029</v>
      </c>
      <c r="E616" s="4" t="n">
        <f aca="false">INDEX(驱动复算!A7:X7,1,情景参数!B18)</f>
        <v>9911.9048</v>
      </c>
      <c r="F616" s="4" t="n">
        <f aca="false">E616*(1-情景参数!D18)</f>
        <v>9911.9048</v>
      </c>
      <c r="G616" s="4" t="n">
        <f aca="false">IF(情景参数!E18="原表",驱动复算!U7-驱动复算!W7,驱动复算!P7)</f>
        <v>7575.65</v>
      </c>
      <c r="H616" s="4" t="n">
        <f aca="false">IF(情景参数!E18="原表",驱动复算!W7,F616*情景参数!C18)</f>
        <v>198.238096</v>
      </c>
      <c r="I616" s="4" t="n">
        <f aca="false">IF(情景参数!E18="原表",驱动复算!U7,G616+H616)</f>
        <v>7773.888096</v>
      </c>
      <c r="J616" s="4" t="n">
        <f aca="false">(F616-I616)*(1-情景参数!F18)</f>
        <v>2138.016704</v>
      </c>
      <c r="K616" s="4" t="n">
        <f aca="false">偿债原表!C8</f>
        <v>0</v>
      </c>
      <c r="L616" s="4" t="n">
        <f aca="false">偿债原表!D8</f>
        <v>730.2</v>
      </c>
      <c r="M616" s="4" t="n">
        <f aca="false">K616+L616</f>
        <v>730.2</v>
      </c>
      <c r="N616" s="4" t="n">
        <f aca="false">J616-M616</f>
        <v>1407.816704</v>
      </c>
      <c r="O616" s="4" t="n">
        <f aca="false">O615+N616</f>
        <v>-14892.016592</v>
      </c>
      <c r="P616" s="4" t="n">
        <f aca="false">MAX(0,-(R615+N616))</f>
        <v>0</v>
      </c>
      <c r="Q616" s="4" t="n">
        <f aca="false">Q615+P616</f>
        <v>16299.833296</v>
      </c>
      <c r="R616" s="4" t="n">
        <f aca="false">O616+Q616</f>
        <v>1407.816704</v>
      </c>
    </row>
    <row r="617" customFormat="false" ht="15" hidden="false" customHeight="false" outlineLevel="0" collapsed="false">
      <c r="A617" s="2" t="s">
        <v>56</v>
      </c>
      <c r="B617" s="2" t="s">
        <v>39</v>
      </c>
      <c r="C617" s="12" t="n">
        <v>7</v>
      </c>
      <c r="D617" s="12" t="n">
        <v>2030</v>
      </c>
      <c r="E617" s="4" t="n">
        <f aca="false">INDEX(驱动复算!A8:X8,1,情景参数!B18)</f>
        <v>10830.4048</v>
      </c>
      <c r="F617" s="4" t="n">
        <f aca="false">E617*(1-情景参数!D18)</f>
        <v>10830.4048</v>
      </c>
      <c r="G617" s="4" t="n">
        <f aca="false">IF(情景参数!E18="原表",驱动复算!U8-驱动复算!W8,驱动复算!P8)</f>
        <v>7802.9195</v>
      </c>
      <c r="H617" s="4" t="n">
        <f aca="false">IF(情景参数!E18="原表",驱动复算!W8,F617*情景参数!C18)</f>
        <v>216.608096</v>
      </c>
      <c r="I617" s="4" t="n">
        <f aca="false">IF(情景参数!E18="原表",驱动复算!U8,G617+H617)</f>
        <v>8019.527596</v>
      </c>
      <c r="J617" s="4" t="n">
        <f aca="false">(F617-I617)*(1-情景参数!F18)</f>
        <v>2810.877204</v>
      </c>
      <c r="K617" s="4" t="n">
        <f aca="false">偿债原表!C9</f>
        <v>0</v>
      </c>
      <c r="L617" s="4" t="n">
        <f aca="false">偿债原表!D9</f>
        <v>730.2</v>
      </c>
      <c r="M617" s="4" t="n">
        <f aca="false">K617+L617</f>
        <v>730.2</v>
      </c>
      <c r="N617" s="4" t="n">
        <f aca="false">J617-M617</f>
        <v>2080.677204</v>
      </c>
      <c r="O617" s="4" t="n">
        <f aca="false">O616+N617</f>
        <v>-12811.339388</v>
      </c>
      <c r="P617" s="4" t="n">
        <f aca="false">MAX(0,-(R616+N617))</f>
        <v>0</v>
      </c>
      <c r="Q617" s="4" t="n">
        <f aca="false">Q616+P617</f>
        <v>16299.833296</v>
      </c>
      <c r="R617" s="4" t="n">
        <f aca="false">O617+Q617</f>
        <v>3488.493908</v>
      </c>
    </row>
    <row r="618" customFormat="false" ht="15" hidden="false" customHeight="false" outlineLevel="0" collapsed="false">
      <c r="A618" s="2" t="s">
        <v>56</v>
      </c>
      <c r="B618" s="2" t="s">
        <v>39</v>
      </c>
      <c r="C618" s="12" t="n">
        <v>8</v>
      </c>
      <c r="D618" s="12" t="n">
        <v>2031</v>
      </c>
      <c r="E618" s="4" t="n">
        <f aca="false">INDEX(驱动复算!A9:X9,1,情景参数!B18)</f>
        <v>11840.7548</v>
      </c>
      <c r="F618" s="4" t="n">
        <f aca="false">E618*(1-情景参数!D18)</f>
        <v>11840.7548</v>
      </c>
      <c r="G618" s="4" t="n">
        <f aca="false">IF(情景参数!E18="原表",驱动复算!U9-驱动复算!W9,驱动复算!P9)</f>
        <v>8037.007085</v>
      </c>
      <c r="H618" s="4" t="n">
        <f aca="false">IF(情景参数!E18="原表",驱动复算!W9,F618*情景参数!C18)</f>
        <v>236.815096</v>
      </c>
      <c r="I618" s="4" t="n">
        <f aca="false">IF(情景参数!E18="原表",驱动复算!U9,G618+H618)</f>
        <v>8273.822181</v>
      </c>
      <c r="J618" s="4" t="n">
        <f aca="false">(F618-I618)*(1-情景参数!F18)</f>
        <v>3566.932619</v>
      </c>
      <c r="K618" s="4" t="n">
        <f aca="false">偿债原表!C10</f>
        <v>0</v>
      </c>
      <c r="L618" s="4" t="n">
        <f aca="false">偿债原表!D10</f>
        <v>730.2</v>
      </c>
      <c r="M618" s="4" t="n">
        <f aca="false">K618+L618</f>
        <v>730.2</v>
      </c>
      <c r="N618" s="4" t="n">
        <f aca="false">J618-M618</f>
        <v>2836.73261900001</v>
      </c>
      <c r="O618" s="4" t="n">
        <f aca="false">O617+N618</f>
        <v>-9974.606769</v>
      </c>
      <c r="P618" s="4" t="n">
        <f aca="false">MAX(0,-(R617+N618))</f>
        <v>0</v>
      </c>
      <c r="Q618" s="4" t="n">
        <f aca="false">Q617+P618</f>
        <v>16299.833296</v>
      </c>
      <c r="R618" s="4" t="n">
        <f aca="false">O618+Q618</f>
        <v>6325.226527</v>
      </c>
    </row>
    <row r="619" customFormat="false" ht="15" hidden="false" customHeight="false" outlineLevel="0" collapsed="false">
      <c r="A619" s="2" t="s">
        <v>56</v>
      </c>
      <c r="B619" s="2" t="s">
        <v>39</v>
      </c>
      <c r="C619" s="12" t="n">
        <v>9</v>
      </c>
      <c r="D619" s="12" t="n">
        <v>2032</v>
      </c>
      <c r="E619" s="4" t="n">
        <f aca="false">INDEX(驱动复算!A10:X10,1,情景参数!B18)</f>
        <v>12952.1398</v>
      </c>
      <c r="F619" s="4" t="n">
        <f aca="false">E619*(1-情景参数!D18)</f>
        <v>12952.1398</v>
      </c>
      <c r="G619" s="4" t="n">
        <f aca="false">IF(情景参数!E18="原表",驱动复算!U10-驱动复算!W10,驱动复算!P10)</f>
        <v>8278.11729755</v>
      </c>
      <c r="H619" s="4" t="n">
        <f aca="false">IF(情景参数!E18="原表",驱动复算!W10,F619*情景参数!C18)</f>
        <v>259.042796</v>
      </c>
      <c r="I619" s="4" t="n">
        <f aca="false">IF(情景参数!E18="原表",驱动复算!U10,G619+H619)</f>
        <v>8537.16009355</v>
      </c>
      <c r="J619" s="4" t="n">
        <f aca="false">(F619-I619)*(1-情景参数!F18)</f>
        <v>4414.97970645</v>
      </c>
      <c r="K619" s="4" t="n">
        <f aca="false">偿债原表!C11</f>
        <v>2000</v>
      </c>
      <c r="L619" s="4" t="n">
        <f aca="false">偿债原表!D11</f>
        <v>730.2</v>
      </c>
      <c r="M619" s="4" t="n">
        <f aca="false">K619+L619</f>
        <v>2730.2</v>
      </c>
      <c r="N619" s="4" t="n">
        <f aca="false">J619-M619</f>
        <v>1684.77970645</v>
      </c>
      <c r="O619" s="4" t="n">
        <f aca="false">O618+N619</f>
        <v>-8289.82706255</v>
      </c>
      <c r="P619" s="4" t="n">
        <f aca="false">MAX(0,-(R618+N619))</f>
        <v>0</v>
      </c>
      <c r="Q619" s="4" t="n">
        <f aca="false">Q618+P619</f>
        <v>16299.833296</v>
      </c>
      <c r="R619" s="4" t="n">
        <f aca="false">O619+Q619</f>
        <v>8010.00623345001</v>
      </c>
    </row>
    <row r="620" customFormat="false" ht="15" hidden="false" customHeight="false" outlineLevel="0" collapsed="false">
      <c r="A620" s="2" t="s">
        <v>56</v>
      </c>
      <c r="B620" s="2" t="s">
        <v>39</v>
      </c>
      <c r="C620" s="12" t="n">
        <v>10</v>
      </c>
      <c r="D620" s="12" t="n">
        <v>2033</v>
      </c>
      <c r="E620" s="4" t="n">
        <f aca="false">INDEX(驱动复算!A11:X11,1,情景参数!B18)</f>
        <v>13654.92603</v>
      </c>
      <c r="F620" s="4" t="n">
        <f aca="false">E620*(1-情景参数!D18)</f>
        <v>13654.92603</v>
      </c>
      <c r="G620" s="4" t="n">
        <f aca="false">IF(情景参数!E18="原表",驱动复算!U11-驱动复算!W11,驱动复算!P11)</f>
        <v>8526.4608164765</v>
      </c>
      <c r="H620" s="4" t="n">
        <f aca="false">IF(情景参数!E18="原表",驱动复算!W11,F620*情景参数!C18)</f>
        <v>273.0985206</v>
      </c>
      <c r="I620" s="4" t="n">
        <f aca="false">IF(情景参数!E18="原表",驱动复算!U11,G620+H620)</f>
        <v>8799.5593370765</v>
      </c>
      <c r="J620" s="4" t="n">
        <f aca="false">(F620-I620)*(1-情景参数!F18)</f>
        <v>4855.3666929235</v>
      </c>
      <c r="K620" s="4" t="n">
        <f aca="false">偿债原表!C12</f>
        <v>0</v>
      </c>
      <c r="L620" s="4" t="n">
        <f aca="false">偿债原表!D12</f>
        <v>673.2</v>
      </c>
      <c r="M620" s="4" t="n">
        <f aca="false">K620+L620</f>
        <v>673.2</v>
      </c>
      <c r="N620" s="4" t="n">
        <f aca="false">J620-M620</f>
        <v>4182.1666929235</v>
      </c>
      <c r="O620" s="4" t="n">
        <f aca="false">O619+N620</f>
        <v>-4107.6603696265</v>
      </c>
      <c r="P620" s="4" t="n">
        <f aca="false">MAX(0,-(R619+N620))</f>
        <v>0</v>
      </c>
      <c r="Q620" s="4" t="n">
        <f aca="false">Q619+P620</f>
        <v>16299.833296</v>
      </c>
      <c r="R620" s="4" t="n">
        <f aca="false">O620+Q620</f>
        <v>12192.1729263735</v>
      </c>
    </row>
    <row r="621" customFormat="false" ht="15" hidden="false" customHeight="false" outlineLevel="0" collapsed="false">
      <c r="A621" s="2" t="s">
        <v>56</v>
      </c>
      <c r="B621" s="2" t="s">
        <v>39</v>
      </c>
      <c r="C621" s="12" t="n">
        <v>11</v>
      </c>
      <c r="D621" s="12" t="n">
        <v>2034</v>
      </c>
      <c r="E621" s="4" t="n">
        <f aca="false">INDEX(驱动复算!A12:X12,1,情景参数!B18)</f>
        <v>14296.7508675</v>
      </c>
      <c r="F621" s="4" t="n">
        <f aca="false">E621*(1-情景参数!D18)</f>
        <v>14296.7508675</v>
      </c>
      <c r="G621" s="4" t="n">
        <f aca="false">IF(情景参数!E18="原表",驱动复算!U12-驱动复算!W12,驱动复算!P12)</f>
        <v>8782.2546409708</v>
      </c>
      <c r="H621" s="4" t="n">
        <f aca="false">IF(情景参数!E18="原表",驱动复算!W12,F621*情景参数!C18)</f>
        <v>285.93501735</v>
      </c>
      <c r="I621" s="4" t="n">
        <f aca="false">IF(情景参数!E18="原表",驱动复算!U12,G621+H621)</f>
        <v>9068.1896583208</v>
      </c>
      <c r="J621" s="4" t="n">
        <f aca="false">(F621-I621)*(1-情景参数!F18)</f>
        <v>5228.56120917921</v>
      </c>
      <c r="K621" s="4" t="n">
        <f aca="false">偿债原表!C13</f>
        <v>0</v>
      </c>
      <c r="L621" s="4" t="n">
        <f aca="false">偿债原表!D13</f>
        <v>673.2</v>
      </c>
      <c r="M621" s="4" t="n">
        <f aca="false">K621+L621</f>
        <v>673.2</v>
      </c>
      <c r="N621" s="4" t="n">
        <f aca="false">J621-M621</f>
        <v>4555.36120917921</v>
      </c>
      <c r="O621" s="4" t="n">
        <f aca="false">O620+N621</f>
        <v>447.700839552714</v>
      </c>
      <c r="P621" s="4" t="n">
        <f aca="false">MAX(0,-(R620+N621))</f>
        <v>0</v>
      </c>
      <c r="Q621" s="4" t="n">
        <f aca="false">Q620+P621</f>
        <v>16299.833296</v>
      </c>
      <c r="R621" s="4" t="n">
        <f aca="false">O621+Q621</f>
        <v>16747.5341355527</v>
      </c>
    </row>
    <row r="622" customFormat="false" ht="15" hidden="false" customHeight="false" outlineLevel="0" collapsed="false">
      <c r="A622" s="2" t="s">
        <v>56</v>
      </c>
      <c r="B622" s="2" t="s">
        <v>39</v>
      </c>
      <c r="C622" s="12" t="n">
        <v>12</v>
      </c>
      <c r="D622" s="12" t="n">
        <v>2035</v>
      </c>
      <c r="E622" s="4" t="n">
        <f aca="false">INDEX(驱动复算!A13:X13,1,情景参数!B18)</f>
        <v>14970.666946875</v>
      </c>
      <c r="F622" s="4" t="n">
        <f aca="false">E622*(1-情景参数!D18)</f>
        <v>14970.666946875</v>
      </c>
      <c r="G622" s="4" t="n">
        <f aca="false">IF(情景参数!E18="原表",驱动复算!U13-驱动复算!W13,驱动复算!P13)</f>
        <v>9045.72228019992</v>
      </c>
      <c r="H622" s="4" t="n">
        <f aca="false">IF(情景参数!E18="原表",驱动复算!W13,F622*情景参数!C18)</f>
        <v>299.4133389375</v>
      </c>
      <c r="I622" s="4" t="n">
        <f aca="false">IF(情景参数!E18="原表",驱动复算!U13,G622+H622)</f>
        <v>9345.13561913742</v>
      </c>
      <c r="J622" s="4" t="n">
        <f aca="false">(F622-I622)*(1-情景参数!F18)</f>
        <v>5625.53132773758</v>
      </c>
      <c r="K622" s="4" t="n">
        <f aca="false">偿债原表!C14</f>
        <v>0</v>
      </c>
      <c r="L622" s="4" t="n">
        <f aca="false">偿债原表!D14</f>
        <v>673.2</v>
      </c>
      <c r="M622" s="4" t="n">
        <f aca="false">K622+L622</f>
        <v>673.2</v>
      </c>
      <c r="N622" s="4" t="n">
        <f aca="false">J622-M622</f>
        <v>4952.33132773759</v>
      </c>
      <c r="O622" s="4" t="n">
        <f aca="false">O621+N622</f>
        <v>5400.0321672903</v>
      </c>
      <c r="P622" s="4" t="n">
        <f aca="false">MAX(0,-(R621+N622))</f>
        <v>0</v>
      </c>
      <c r="Q622" s="4" t="n">
        <f aca="false">Q621+P622</f>
        <v>16299.833296</v>
      </c>
      <c r="R622" s="4" t="n">
        <f aca="false">O622+Q622</f>
        <v>21699.8654632903</v>
      </c>
    </row>
    <row r="623" customFormat="false" ht="15" hidden="false" customHeight="false" outlineLevel="0" collapsed="false">
      <c r="A623" s="2" t="s">
        <v>56</v>
      </c>
      <c r="B623" s="2" t="s">
        <v>39</v>
      </c>
      <c r="C623" s="12" t="n">
        <v>13</v>
      </c>
      <c r="D623" s="12" t="n">
        <v>2036</v>
      </c>
      <c r="E623" s="4" t="n">
        <f aca="false">INDEX(驱动复算!A14:X14,1,情景参数!B18)</f>
        <v>15678.2788302188</v>
      </c>
      <c r="F623" s="4" t="n">
        <f aca="false">E623*(1-情景参数!D18)</f>
        <v>15678.2788302188</v>
      </c>
      <c r="G623" s="4" t="n">
        <f aca="false">IF(情景参数!E18="原表",驱动复算!U14-驱动复算!W14,驱动复算!P14)</f>
        <v>9317.09394860592</v>
      </c>
      <c r="H623" s="4" t="n">
        <f aca="false">IF(情景参数!E18="原表",驱动复算!W14,F623*情景参数!C18)</f>
        <v>313.565576604375</v>
      </c>
      <c r="I623" s="4" t="n">
        <f aca="false">IF(情景参数!E18="原表",驱动复算!U14,G623+H623)</f>
        <v>9630.65952521029</v>
      </c>
      <c r="J623" s="4" t="n">
        <f aca="false">(F623-I623)*(1-情景参数!F18)</f>
        <v>6047.61930500847</v>
      </c>
      <c r="K623" s="4" t="n">
        <f aca="false">偿债原表!C15</f>
        <v>0</v>
      </c>
      <c r="L623" s="4" t="n">
        <f aca="false">偿债原表!D15</f>
        <v>673.2</v>
      </c>
      <c r="M623" s="4" t="n">
        <f aca="false">K623+L623</f>
        <v>673.2</v>
      </c>
      <c r="N623" s="4" t="n">
        <f aca="false">J623-M623</f>
        <v>5374.41930500847</v>
      </c>
      <c r="O623" s="4" t="n">
        <f aca="false">O622+N623</f>
        <v>10774.4514722988</v>
      </c>
      <c r="P623" s="4" t="n">
        <f aca="false">MAX(0,-(R622+N623))</f>
        <v>0</v>
      </c>
      <c r="Q623" s="4" t="n">
        <f aca="false">Q622+P623</f>
        <v>16299.833296</v>
      </c>
      <c r="R623" s="4" t="n">
        <f aca="false">O623+Q623</f>
        <v>27074.2847682988</v>
      </c>
    </row>
    <row r="624" customFormat="false" ht="15" hidden="false" customHeight="false" outlineLevel="0" collapsed="false">
      <c r="A624" s="2" t="s">
        <v>56</v>
      </c>
      <c r="B624" s="2" t="s">
        <v>39</v>
      </c>
      <c r="C624" s="12" t="n">
        <v>14</v>
      </c>
      <c r="D624" s="12" t="n">
        <v>2037</v>
      </c>
      <c r="E624" s="4" t="n">
        <f aca="false">INDEX(驱动复算!A15:X15,1,情景参数!B18)</f>
        <v>16421.2713077297</v>
      </c>
      <c r="F624" s="4" t="n">
        <f aca="false">E624*(1-情景参数!D18)</f>
        <v>16421.2713077297</v>
      </c>
      <c r="G624" s="4" t="n">
        <f aca="false">IF(情景参数!E18="原表",驱动复算!U15-驱动复算!W15,驱动复算!P15)</f>
        <v>9596.6067670641</v>
      </c>
      <c r="H624" s="4" t="n">
        <f aca="false">IF(情景参数!E18="原表",驱动复算!W15,F624*情景参数!C18)</f>
        <v>328.425426154594</v>
      </c>
      <c r="I624" s="4" t="n">
        <f aca="false">IF(情景参数!E18="原表",驱动复算!U15,G624+H624)</f>
        <v>9925.03219321869</v>
      </c>
      <c r="J624" s="4" t="n">
        <f aca="false">(F624-I624)*(1-情景参数!F18)</f>
        <v>6496.23911451101</v>
      </c>
      <c r="K624" s="4" t="n">
        <f aca="false">偿债原表!C16</f>
        <v>1000</v>
      </c>
      <c r="L624" s="4" t="n">
        <f aca="false">偿债原表!D16</f>
        <v>673.2</v>
      </c>
      <c r="M624" s="4" t="n">
        <f aca="false">K624+L624</f>
        <v>1673.2</v>
      </c>
      <c r="N624" s="4" t="n">
        <f aca="false">J624-M624</f>
        <v>4823.03911451101</v>
      </c>
      <c r="O624" s="4" t="n">
        <f aca="false">O623+N624</f>
        <v>15597.4905868098</v>
      </c>
      <c r="P624" s="4" t="n">
        <f aca="false">MAX(0,-(R623+N624))</f>
        <v>0</v>
      </c>
      <c r="Q624" s="4" t="n">
        <f aca="false">Q623+P624</f>
        <v>16299.833296</v>
      </c>
      <c r="R624" s="4" t="n">
        <f aca="false">O624+Q624</f>
        <v>31897.3238828098</v>
      </c>
    </row>
    <row r="625" customFormat="false" ht="15" hidden="false" customHeight="false" outlineLevel="0" collapsed="false">
      <c r="A625" s="2" t="s">
        <v>56</v>
      </c>
      <c r="B625" s="2" t="s">
        <v>39</v>
      </c>
      <c r="C625" s="12" t="n">
        <v>15</v>
      </c>
      <c r="D625" s="12" t="n">
        <v>2038</v>
      </c>
      <c r="E625" s="4" t="n">
        <f aca="false">INDEX(驱动复算!A16:X16,1,情景参数!B18)</f>
        <v>16756.9170762843</v>
      </c>
      <c r="F625" s="4" t="n">
        <f aca="false">E625*(1-情景参数!D18)</f>
        <v>16756.9170762843</v>
      </c>
      <c r="G625" s="4" t="n">
        <f aca="false">IF(情景参数!E18="原表",驱动复算!U16-驱动复算!W16,驱动复算!P16)</f>
        <v>9884.50497007602</v>
      </c>
      <c r="H625" s="4" t="n">
        <f aca="false">IF(情景参数!E18="原表",驱动复算!W16,F625*情景参数!C18)</f>
        <v>335.138341525686</v>
      </c>
      <c r="I625" s="4" t="n">
        <f aca="false">IF(情景参数!E18="原表",驱动复算!U16,G625+H625)</f>
        <v>10219.6433116017</v>
      </c>
      <c r="J625" s="4" t="n">
        <f aca="false">(F625-I625)*(1-情景参数!F18)</f>
        <v>6537.27376468259</v>
      </c>
      <c r="K625" s="4" t="n">
        <f aca="false">偿债原表!C17</f>
        <v>0</v>
      </c>
      <c r="L625" s="4" t="n">
        <f aca="false">偿债原表!D17</f>
        <v>644</v>
      </c>
      <c r="M625" s="4" t="n">
        <f aca="false">K625+L625</f>
        <v>644</v>
      </c>
      <c r="N625" s="4" t="n">
        <f aca="false">J625-M625</f>
        <v>5893.27376468259</v>
      </c>
      <c r="O625" s="4" t="n">
        <f aca="false">O624+N625</f>
        <v>21490.7643514924</v>
      </c>
      <c r="P625" s="4" t="n">
        <f aca="false">MAX(0,-(R624+N625))</f>
        <v>0</v>
      </c>
      <c r="Q625" s="4" t="n">
        <f aca="false">Q624+P625</f>
        <v>16299.833296</v>
      </c>
      <c r="R625" s="4" t="n">
        <f aca="false">O625+Q625</f>
        <v>37790.5976474924</v>
      </c>
    </row>
    <row r="626" customFormat="false" ht="15" hidden="false" customHeight="false" outlineLevel="0" collapsed="false">
      <c r="A626" s="2" t="s">
        <v>56</v>
      </c>
      <c r="B626" s="2" t="s">
        <v>39</v>
      </c>
      <c r="C626" s="12" t="n">
        <v>16</v>
      </c>
      <c r="D626" s="12" t="n">
        <v>2039</v>
      </c>
      <c r="E626" s="4" t="n">
        <f aca="false">INDEX(驱动复算!A17:X17,1,情景参数!B18)</f>
        <v>17075.21505365</v>
      </c>
      <c r="F626" s="4" t="n">
        <f aca="false">E626*(1-情景参数!D18)</f>
        <v>17075.21505365</v>
      </c>
      <c r="G626" s="4" t="n">
        <f aca="false">IF(情景参数!E18="原表",驱动复算!U17-驱动复算!W17,驱动复算!P17)</f>
        <v>10181.0401191783</v>
      </c>
      <c r="H626" s="4" t="n">
        <f aca="false">IF(情景参数!E18="原表",驱动复算!W17,F626*情景参数!C18)</f>
        <v>341.504301073</v>
      </c>
      <c r="I626" s="4" t="n">
        <f aca="false">IF(情景参数!E18="原表",驱动复算!U17,G626+H626)</f>
        <v>10522.5444202513</v>
      </c>
      <c r="J626" s="4" t="n">
        <f aca="false">(F626-I626)*(1-情景参数!F18)</f>
        <v>6552.67063339868</v>
      </c>
      <c r="K626" s="4" t="n">
        <f aca="false">偿债原表!C18</f>
        <v>0</v>
      </c>
      <c r="L626" s="4" t="n">
        <f aca="false">偿债原表!D18</f>
        <v>644</v>
      </c>
      <c r="M626" s="4" t="n">
        <f aca="false">K626+L626</f>
        <v>644</v>
      </c>
      <c r="N626" s="4" t="n">
        <f aca="false">J626-M626</f>
        <v>5908.67063339868</v>
      </c>
      <c r="O626" s="4" t="n">
        <f aca="false">O625+N626</f>
        <v>27399.434984891</v>
      </c>
      <c r="P626" s="4" t="n">
        <f aca="false">MAX(0,-(R625+N626))</f>
        <v>0</v>
      </c>
      <c r="Q626" s="4" t="n">
        <f aca="false">Q625+P626</f>
        <v>16299.833296</v>
      </c>
      <c r="R626" s="4" t="n">
        <f aca="false">O626+Q626</f>
        <v>43699.268280891</v>
      </c>
    </row>
    <row r="627" customFormat="false" ht="15" hidden="false" customHeight="false" outlineLevel="0" collapsed="false">
      <c r="A627" s="2" t="s">
        <v>56</v>
      </c>
      <c r="B627" s="2" t="s">
        <v>39</v>
      </c>
      <c r="C627" s="12" t="n">
        <v>17</v>
      </c>
      <c r="D627" s="12" t="n">
        <v>2040</v>
      </c>
      <c r="E627" s="4" t="n">
        <f aca="false">INDEX(驱动复算!A18:X18,1,情景参数!B18)</f>
        <v>17399.878990563</v>
      </c>
      <c r="F627" s="4" t="n">
        <f aca="false">E627*(1-情景参数!D18)</f>
        <v>17399.878990563</v>
      </c>
      <c r="G627" s="4" t="n">
        <f aca="false">IF(情景参数!E18="原表",驱动复算!U18-驱动复算!W18,驱动复算!P18)</f>
        <v>10486.4713227536</v>
      </c>
      <c r="H627" s="4" t="n">
        <f aca="false">IF(情景参数!E18="原表",驱动复算!W18,F627*情景参数!C18)</f>
        <v>347.99757981126</v>
      </c>
      <c r="I627" s="4" t="n">
        <f aca="false">IF(情景参数!E18="原表",驱动复算!U18,G627+H627)</f>
        <v>10834.4689025649</v>
      </c>
      <c r="J627" s="4" t="n">
        <f aca="false">(F627-I627)*(1-情景参数!F18)</f>
        <v>6565.41008799807</v>
      </c>
      <c r="K627" s="4" t="n">
        <f aca="false">偿债原表!C19</f>
        <v>0</v>
      </c>
      <c r="L627" s="4" t="n">
        <f aca="false">偿债原表!D19</f>
        <v>644</v>
      </c>
      <c r="M627" s="4" t="n">
        <f aca="false">K627+L627</f>
        <v>644</v>
      </c>
      <c r="N627" s="4" t="n">
        <f aca="false">J627-M627</f>
        <v>5921.41008799807</v>
      </c>
      <c r="O627" s="4" t="n">
        <f aca="false">O626+N627</f>
        <v>33320.8450728891</v>
      </c>
      <c r="P627" s="4" t="n">
        <f aca="false">MAX(0,-(R626+N627))</f>
        <v>0</v>
      </c>
      <c r="Q627" s="4" t="n">
        <f aca="false">Q626+P627</f>
        <v>16299.833296</v>
      </c>
      <c r="R627" s="4" t="n">
        <f aca="false">O627+Q627</f>
        <v>49620.6783688891</v>
      </c>
    </row>
    <row r="628" customFormat="false" ht="15" hidden="false" customHeight="false" outlineLevel="0" collapsed="false">
      <c r="A628" s="2" t="s">
        <v>56</v>
      </c>
      <c r="B628" s="2" t="s">
        <v>39</v>
      </c>
      <c r="C628" s="12" t="n">
        <v>18</v>
      </c>
      <c r="D628" s="12" t="n">
        <v>2041</v>
      </c>
      <c r="E628" s="4" t="n">
        <f aca="false">INDEX(驱动复算!A19:X19,1,情景参数!B18)</f>
        <v>17731.0362062142</v>
      </c>
      <c r="F628" s="4" t="n">
        <f aca="false">E628*(1-情景参数!D18)</f>
        <v>17731.0362062142</v>
      </c>
      <c r="G628" s="4" t="n">
        <f aca="false">IF(情景参数!E18="原表",驱动复算!U19-驱动复算!W19,驱动复算!P19)</f>
        <v>10801.0654624363</v>
      </c>
      <c r="H628" s="4" t="n">
        <f aca="false">IF(情景参数!E18="原表",驱动复算!W19,F628*情景参数!C18)</f>
        <v>354.620724124285</v>
      </c>
      <c r="I628" s="4" t="n">
        <f aca="false">IF(情景参数!E18="原表",驱动复算!U19,G628+H628)</f>
        <v>11155.6861865605</v>
      </c>
      <c r="J628" s="4" t="n">
        <f aca="false">(F628-I628)*(1-情景参数!F18)</f>
        <v>6575.35001965369</v>
      </c>
      <c r="K628" s="4" t="n">
        <f aca="false">偿债原表!C20</f>
        <v>20000</v>
      </c>
      <c r="L628" s="4" t="n">
        <f aca="false">偿债原表!D20</f>
        <v>644</v>
      </c>
      <c r="M628" s="4" t="n">
        <f aca="false">K628+L628</f>
        <v>20644</v>
      </c>
      <c r="N628" s="4" t="n">
        <f aca="false">J628-M628</f>
        <v>-14068.6499803463</v>
      </c>
      <c r="O628" s="4" t="n">
        <f aca="false">O627+N628</f>
        <v>19252.1950925428</v>
      </c>
      <c r="P628" s="4" t="n">
        <f aca="false">MAX(0,-(R627+N628))</f>
        <v>0</v>
      </c>
      <c r="Q628" s="4" t="n">
        <f aca="false">Q627+P628</f>
        <v>16299.833296</v>
      </c>
      <c r="R628" s="4" t="n">
        <f aca="false">O628+Q628</f>
        <v>35552.0283885428</v>
      </c>
    </row>
    <row r="629" customFormat="false" ht="15" hidden="false" customHeight="false" outlineLevel="0" collapsed="false">
      <c r="A629" s="2" t="s">
        <v>56</v>
      </c>
      <c r="B629" s="2" t="s">
        <v>40</v>
      </c>
      <c r="C629" s="12" t="n">
        <v>0</v>
      </c>
      <c r="D629" s="13" t="s">
        <v>248</v>
      </c>
      <c r="E629" s="4" t="n">
        <f aca="false">0</f>
        <v>0</v>
      </c>
      <c r="F629" s="4" t="n">
        <f aca="false">E629*(1-情景参数!D18)</f>
        <v>0</v>
      </c>
      <c r="G629" s="4" t="n">
        <f aca="false">0</f>
        <v>0</v>
      </c>
      <c r="H629" s="4" t="n">
        <f aca="false">0</f>
        <v>0</v>
      </c>
      <c r="I629" s="4" t="n">
        <f aca="false">0</f>
        <v>0</v>
      </c>
      <c r="J629" s="4" t="n">
        <f aca="false">(F629-I629)*(1-情景参数!F18)</f>
        <v>0</v>
      </c>
      <c r="K629" s="4" t="n">
        <f aca="false">偿债原表!F2</f>
        <v>0</v>
      </c>
      <c r="L629" s="4" t="n">
        <f aca="false">偿债原表!G2</f>
        <v>1374.2</v>
      </c>
      <c r="M629" s="4" t="n">
        <f aca="false">K629+L629</f>
        <v>1374.2</v>
      </c>
      <c r="N629" s="4" t="n">
        <f aca="false">J629-M629</f>
        <v>-1374.2</v>
      </c>
      <c r="O629" s="4" t="n">
        <f aca="false">N629</f>
        <v>-1374.2</v>
      </c>
      <c r="P629" s="4" t="n">
        <f aca="false">MAX(0,-N629)</f>
        <v>1374.2</v>
      </c>
      <c r="Q629" s="4" t="n">
        <f aca="false">P629</f>
        <v>1374.2</v>
      </c>
      <c r="R629" s="4" t="n">
        <f aca="false">O629+Q629</f>
        <v>0</v>
      </c>
    </row>
    <row r="630" customFormat="false" ht="15" hidden="false" customHeight="false" outlineLevel="0" collapsed="false">
      <c r="A630" s="2" t="s">
        <v>56</v>
      </c>
      <c r="B630" s="2" t="s">
        <v>40</v>
      </c>
      <c r="C630" s="12" t="n">
        <v>1</v>
      </c>
      <c r="D630" s="12" t="n">
        <v>2024</v>
      </c>
      <c r="E630" s="4" t="n">
        <f aca="false">INDEX(驱动复算!A2:X2,1,情景参数!B18)</f>
        <v>0</v>
      </c>
      <c r="F630" s="4" t="n">
        <f aca="false">E630*(1-情景参数!D18)</f>
        <v>0</v>
      </c>
      <c r="G630" s="4" t="n">
        <f aca="false">IF(情景参数!E18="原表",驱动复算!U2-驱动复算!W2,驱动复算!P2)</f>
        <v>0</v>
      </c>
      <c r="H630" s="4" t="n">
        <f aca="false">IF(情景参数!E18="原表",驱动复算!W2,F630*情景参数!C18)</f>
        <v>0</v>
      </c>
      <c r="I630" s="4" t="n">
        <f aca="false">IF(情景参数!E18="原表",驱动复算!U2,G630+H630)</f>
        <v>0</v>
      </c>
      <c r="J630" s="4" t="n">
        <f aca="false">(F630-I630)*(1-情景参数!F18)</f>
        <v>0</v>
      </c>
      <c r="K630" s="4" t="n">
        <f aca="false">偿债原表!F3</f>
        <v>0</v>
      </c>
      <c r="L630" s="4" t="n">
        <f aca="false">偿债原表!G3</f>
        <v>1107.58</v>
      </c>
      <c r="M630" s="4" t="n">
        <f aca="false">K630+L630</f>
        <v>1107.58</v>
      </c>
      <c r="N630" s="4" t="n">
        <f aca="false">J630-M630</f>
        <v>-1107.58</v>
      </c>
      <c r="O630" s="4" t="n">
        <f aca="false">O629+N630</f>
        <v>-2481.78</v>
      </c>
      <c r="P630" s="4" t="n">
        <f aca="false">MAX(0,-(R629+N630))</f>
        <v>1107.58</v>
      </c>
      <c r="Q630" s="4" t="n">
        <f aca="false">Q629+P630</f>
        <v>2481.78</v>
      </c>
      <c r="R630" s="4" t="n">
        <f aca="false">O630+Q630</f>
        <v>0</v>
      </c>
    </row>
    <row r="631" customFormat="false" ht="15" hidden="false" customHeight="false" outlineLevel="0" collapsed="false">
      <c r="A631" s="2" t="s">
        <v>56</v>
      </c>
      <c r="B631" s="2" t="s">
        <v>40</v>
      </c>
      <c r="C631" s="12" t="n">
        <v>2</v>
      </c>
      <c r="D631" s="12" t="n">
        <v>2025</v>
      </c>
      <c r="E631" s="4" t="n">
        <f aca="false">INDEX(驱动复算!A3:X3,1,情景参数!B18)</f>
        <v>0</v>
      </c>
      <c r="F631" s="4" t="n">
        <f aca="false">E631*(1-情景参数!D18)</f>
        <v>0</v>
      </c>
      <c r="G631" s="4" t="n">
        <f aca="false">IF(情景参数!E18="原表",驱动复算!U3-驱动复算!W3,驱动复算!P3)</f>
        <v>0</v>
      </c>
      <c r="H631" s="4" t="n">
        <f aca="false">IF(情景参数!E18="原表",驱动复算!W3,F631*情景参数!C18)</f>
        <v>0</v>
      </c>
      <c r="I631" s="4" t="n">
        <f aca="false">IF(情景参数!E18="原表",驱动复算!U3,G631+H631)</f>
        <v>0</v>
      </c>
      <c r="J631" s="4" t="n">
        <f aca="false">(F631-I631)*(1-情景参数!F18)</f>
        <v>0</v>
      </c>
      <c r="K631" s="4" t="n">
        <f aca="false">偿债原表!F4</f>
        <v>0</v>
      </c>
      <c r="L631" s="4" t="n">
        <f aca="false">偿债原表!G4</f>
        <v>1107.58</v>
      </c>
      <c r="M631" s="4" t="n">
        <f aca="false">K631+L631</f>
        <v>1107.58</v>
      </c>
      <c r="N631" s="4" t="n">
        <f aca="false">J631-M631</f>
        <v>-1107.58</v>
      </c>
      <c r="O631" s="4" t="n">
        <f aca="false">O630+N631</f>
        <v>-3589.36</v>
      </c>
      <c r="P631" s="4" t="n">
        <f aca="false">MAX(0,-(R630+N631))</f>
        <v>1107.58</v>
      </c>
      <c r="Q631" s="4" t="n">
        <f aca="false">Q630+P631</f>
        <v>3589.36</v>
      </c>
      <c r="R631" s="4" t="n">
        <f aca="false">O631+Q631</f>
        <v>0</v>
      </c>
    </row>
    <row r="632" customFormat="false" ht="15" hidden="false" customHeight="false" outlineLevel="0" collapsed="false">
      <c r="A632" s="2" t="s">
        <v>56</v>
      </c>
      <c r="B632" s="2" t="s">
        <v>40</v>
      </c>
      <c r="C632" s="12" t="n">
        <v>3</v>
      </c>
      <c r="D632" s="12" t="n">
        <v>2026</v>
      </c>
      <c r="E632" s="4" t="n">
        <f aca="false">INDEX(驱动复算!A4:X4,1,情景参数!B18)</f>
        <v>0</v>
      </c>
      <c r="F632" s="4" t="n">
        <f aca="false">E632*(1-情景参数!D18)</f>
        <v>0</v>
      </c>
      <c r="G632" s="4" t="n">
        <f aca="false">IF(情景参数!E18="原表",驱动复算!U4-驱动复算!W4,驱动复算!P4)</f>
        <v>0</v>
      </c>
      <c r="H632" s="4" t="n">
        <f aca="false">IF(情景参数!E18="原表",驱动复算!W4,F632*情景参数!C18)</f>
        <v>0</v>
      </c>
      <c r="I632" s="4" t="n">
        <f aca="false">IF(情景参数!E18="原表",驱动复算!U4,G632+H632)</f>
        <v>0</v>
      </c>
      <c r="J632" s="4" t="n">
        <f aca="false">(F632-I632)*(1-情景参数!F18)</f>
        <v>0</v>
      </c>
      <c r="K632" s="4" t="n">
        <f aca="false">偿债原表!F5</f>
        <v>0</v>
      </c>
      <c r="L632" s="4" t="n">
        <f aca="false">偿债原表!G5</f>
        <v>1107.58</v>
      </c>
      <c r="M632" s="4" t="n">
        <f aca="false">K632+L632</f>
        <v>1107.58</v>
      </c>
      <c r="N632" s="4" t="n">
        <f aca="false">J632-M632</f>
        <v>-1107.58</v>
      </c>
      <c r="O632" s="4" t="n">
        <f aca="false">O631+N632</f>
        <v>-4696.94</v>
      </c>
      <c r="P632" s="4" t="n">
        <f aca="false">MAX(0,-(R631+N632))</f>
        <v>1107.58</v>
      </c>
      <c r="Q632" s="4" t="n">
        <f aca="false">Q631+P632</f>
        <v>4696.94</v>
      </c>
      <c r="R632" s="4" t="n">
        <f aca="false">O632+Q632</f>
        <v>0</v>
      </c>
    </row>
    <row r="633" customFormat="false" ht="15" hidden="false" customHeight="false" outlineLevel="0" collapsed="false">
      <c r="A633" s="2" t="s">
        <v>56</v>
      </c>
      <c r="B633" s="2" t="s">
        <v>40</v>
      </c>
      <c r="C633" s="12" t="n">
        <v>4</v>
      </c>
      <c r="D633" s="12" t="n">
        <v>2027</v>
      </c>
      <c r="E633" s="4" t="n">
        <f aca="false">INDEX(驱动复算!A5:X5,1,情景参数!B18)</f>
        <v>0</v>
      </c>
      <c r="F633" s="4" t="n">
        <f aca="false">E633*(1-情景参数!D18)</f>
        <v>0</v>
      </c>
      <c r="G633" s="4" t="n">
        <f aca="false">IF(情景参数!E18="原表",驱动复算!U5-驱动复算!W5,驱动复算!P5)</f>
        <v>0</v>
      </c>
      <c r="H633" s="4" t="n">
        <f aca="false">IF(情景参数!E18="原表",驱动复算!W5,F633*情景参数!C18)</f>
        <v>0</v>
      </c>
      <c r="I633" s="4" t="n">
        <f aca="false">IF(情景参数!E18="原表",驱动复算!U5,G633+H633)</f>
        <v>0</v>
      </c>
      <c r="J633" s="4" t="n">
        <f aca="false">(F633-I633)*(1-情景参数!F18)</f>
        <v>0</v>
      </c>
      <c r="K633" s="4" t="n">
        <f aca="false">偿债原表!F6</f>
        <v>0</v>
      </c>
      <c r="L633" s="4" t="n">
        <f aca="false">偿债原表!G6</f>
        <v>1107.58</v>
      </c>
      <c r="M633" s="4" t="n">
        <f aca="false">K633+L633</f>
        <v>1107.58</v>
      </c>
      <c r="N633" s="4" t="n">
        <f aca="false">J633-M633</f>
        <v>-1107.58</v>
      </c>
      <c r="O633" s="4" t="n">
        <f aca="false">O632+N633</f>
        <v>-5804.52</v>
      </c>
      <c r="P633" s="4" t="n">
        <f aca="false">MAX(0,-(R632+N633))</f>
        <v>1107.58</v>
      </c>
      <c r="Q633" s="4" t="n">
        <f aca="false">Q632+P633</f>
        <v>5804.52</v>
      </c>
      <c r="R633" s="4" t="n">
        <f aca="false">O633+Q633</f>
        <v>0</v>
      </c>
    </row>
    <row r="634" customFormat="false" ht="15" hidden="false" customHeight="false" outlineLevel="0" collapsed="false">
      <c r="A634" s="2" t="s">
        <v>56</v>
      </c>
      <c r="B634" s="2" t="s">
        <v>40</v>
      </c>
      <c r="C634" s="12" t="n">
        <v>5</v>
      </c>
      <c r="D634" s="12" t="n">
        <v>2028</v>
      </c>
      <c r="E634" s="4" t="n">
        <f aca="false">INDEX(驱动复算!A6:X6,1,情景参数!B18)</f>
        <v>9076.9048</v>
      </c>
      <c r="F634" s="4" t="n">
        <f aca="false">E634*(1-情景参数!D18)</f>
        <v>9076.9048</v>
      </c>
      <c r="G634" s="4" t="n">
        <f aca="false">IF(情景参数!E18="原表",驱动复算!U6-驱动复算!W6,驱动复算!P6)</f>
        <v>7355</v>
      </c>
      <c r="H634" s="4" t="n">
        <f aca="false">IF(情景参数!E18="原表",驱动复算!W6,F634*情景参数!C18)</f>
        <v>181.538096</v>
      </c>
      <c r="I634" s="4" t="n">
        <f aca="false">IF(情景参数!E18="原表",驱动复算!U6,G634+H634)</f>
        <v>7536.538096</v>
      </c>
      <c r="J634" s="4" t="n">
        <f aca="false">(F634-I634)*(1-情景参数!F18)</f>
        <v>1540.366704</v>
      </c>
      <c r="K634" s="4" t="n">
        <f aca="false">偿债原表!F7</f>
        <v>1400</v>
      </c>
      <c r="L634" s="4" t="n">
        <f aca="false">偿债原表!G7</f>
        <v>1107.58</v>
      </c>
      <c r="M634" s="4" t="n">
        <f aca="false">K634+L634</f>
        <v>2507.58</v>
      </c>
      <c r="N634" s="4" t="n">
        <f aca="false">J634-M634</f>
        <v>-967.213296000002</v>
      </c>
      <c r="O634" s="4" t="n">
        <f aca="false">O633+N634</f>
        <v>-6771.733296</v>
      </c>
      <c r="P634" s="4" t="n">
        <f aca="false">MAX(0,-(R633+N634))</f>
        <v>967.213296000002</v>
      </c>
      <c r="Q634" s="4" t="n">
        <f aca="false">Q633+P634</f>
        <v>6771.733296</v>
      </c>
      <c r="R634" s="4" t="n">
        <f aca="false">O634+Q634</f>
        <v>0</v>
      </c>
    </row>
    <row r="635" customFormat="false" ht="15" hidden="false" customHeight="false" outlineLevel="0" collapsed="false">
      <c r="A635" s="2" t="s">
        <v>56</v>
      </c>
      <c r="B635" s="2" t="s">
        <v>40</v>
      </c>
      <c r="C635" s="12" t="n">
        <v>6</v>
      </c>
      <c r="D635" s="12" t="n">
        <v>2029</v>
      </c>
      <c r="E635" s="4" t="n">
        <f aca="false">INDEX(驱动复算!A7:X7,1,情景参数!B18)</f>
        <v>9911.9048</v>
      </c>
      <c r="F635" s="4" t="n">
        <f aca="false">E635*(1-情景参数!D18)</f>
        <v>9911.9048</v>
      </c>
      <c r="G635" s="4" t="n">
        <f aca="false">IF(情景参数!E18="原表",驱动复算!U7-驱动复算!W7,驱动复算!P7)</f>
        <v>7575.65</v>
      </c>
      <c r="H635" s="4" t="n">
        <f aca="false">IF(情景参数!E18="原表",驱动复算!W7,F635*情景参数!C18)</f>
        <v>198.238096</v>
      </c>
      <c r="I635" s="4" t="n">
        <f aca="false">IF(情景参数!E18="原表",驱动复算!U7,G635+H635)</f>
        <v>7773.888096</v>
      </c>
      <c r="J635" s="4" t="n">
        <f aca="false">(F635-I635)*(1-情景参数!F18)</f>
        <v>2138.016704</v>
      </c>
      <c r="K635" s="4" t="n">
        <f aca="false">偿债原表!F8</f>
        <v>0</v>
      </c>
      <c r="L635" s="4" t="n">
        <f aca="false">偿债原表!G8</f>
        <v>1075.8</v>
      </c>
      <c r="M635" s="4" t="n">
        <f aca="false">K635+L635</f>
        <v>1075.8</v>
      </c>
      <c r="N635" s="4" t="n">
        <f aca="false">J635-M635</f>
        <v>1062.216704</v>
      </c>
      <c r="O635" s="4" t="n">
        <f aca="false">O634+N635</f>
        <v>-5709.516592</v>
      </c>
      <c r="P635" s="4" t="n">
        <f aca="false">MAX(0,-(R634+N635))</f>
        <v>0</v>
      </c>
      <c r="Q635" s="4" t="n">
        <f aca="false">Q634+P635</f>
        <v>6771.733296</v>
      </c>
      <c r="R635" s="4" t="n">
        <f aca="false">O635+Q635</f>
        <v>1062.216704</v>
      </c>
    </row>
    <row r="636" customFormat="false" ht="15" hidden="false" customHeight="false" outlineLevel="0" collapsed="false">
      <c r="A636" s="2" t="s">
        <v>56</v>
      </c>
      <c r="B636" s="2" t="s">
        <v>40</v>
      </c>
      <c r="C636" s="12" t="n">
        <v>7</v>
      </c>
      <c r="D636" s="12" t="n">
        <v>2030</v>
      </c>
      <c r="E636" s="4" t="n">
        <f aca="false">INDEX(驱动复算!A8:X8,1,情景参数!B18)</f>
        <v>10830.4048</v>
      </c>
      <c r="F636" s="4" t="n">
        <f aca="false">E636*(1-情景参数!D18)</f>
        <v>10830.4048</v>
      </c>
      <c r="G636" s="4" t="n">
        <f aca="false">IF(情景参数!E18="原表",驱动复算!U8-驱动复算!W8,驱动复算!P8)</f>
        <v>7802.9195</v>
      </c>
      <c r="H636" s="4" t="n">
        <f aca="false">IF(情景参数!E18="原表",驱动复算!W8,F636*情景参数!C18)</f>
        <v>216.608096</v>
      </c>
      <c r="I636" s="4" t="n">
        <f aca="false">IF(情景参数!E18="原表",驱动复算!U8,G636+H636)</f>
        <v>8019.527596</v>
      </c>
      <c r="J636" s="4" t="n">
        <f aca="false">(F636-I636)*(1-情景参数!F18)</f>
        <v>2810.877204</v>
      </c>
      <c r="K636" s="4" t="n">
        <f aca="false">偿债原表!F9</f>
        <v>0</v>
      </c>
      <c r="L636" s="4" t="n">
        <f aca="false">偿债原表!G9</f>
        <v>1075.8</v>
      </c>
      <c r="M636" s="4" t="n">
        <f aca="false">K636+L636</f>
        <v>1075.8</v>
      </c>
      <c r="N636" s="4" t="n">
        <f aca="false">J636-M636</f>
        <v>1735.077204</v>
      </c>
      <c r="O636" s="4" t="n">
        <f aca="false">O635+N636</f>
        <v>-3974.439388</v>
      </c>
      <c r="P636" s="4" t="n">
        <f aca="false">MAX(0,-(R635+N636))</f>
        <v>0</v>
      </c>
      <c r="Q636" s="4" t="n">
        <f aca="false">Q635+P636</f>
        <v>6771.733296</v>
      </c>
      <c r="R636" s="4" t="n">
        <f aca="false">O636+Q636</f>
        <v>2797.293908</v>
      </c>
    </row>
    <row r="637" customFormat="false" ht="15" hidden="false" customHeight="false" outlineLevel="0" collapsed="false">
      <c r="A637" s="2" t="s">
        <v>56</v>
      </c>
      <c r="B637" s="2" t="s">
        <v>40</v>
      </c>
      <c r="C637" s="12" t="n">
        <v>8</v>
      </c>
      <c r="D637" s="12" t="n">
        <v>2031</v>
      </c>
      <c r="E637" s="4" t="n">
        <f aca="false">INDEX(驱动复算!A9:X9,1,情景参数!B18)</f>
        <v>11840.7548</v>
      </c>
      <c r="F637" s="4" t="n">
        <f aca="false">E637*(1-情景参数!D18)</f>
        <v>11840.7548</v>
      </c>
      <c r="G637" s="4" t="n">
        <f aca="false">IF(情景参数!E18="原表",驱动复算!U9-驱动复算!W9,驱动复算!P9)</f>
        <v>8037.007085</v>
      </c>
      <c r="H637" s="4" t="n">
        <f aca="false">IF(情景参数!E18="原表",驱动复算!W9,F637*情景参数!C18)</f>
        <v>236.815096</v>
      </c>
      <c r="I637" s="4" t="n">
        <f aca="false">IF(情景参数!E18="原表",驱动复算!U9,G637+H637)</f>
        <v>8273.822181</v>
      </c>
      <c r="J637" s="4" t="n">
        <f aca="false">(F637-I637)*(1-情景参数!F18)</f>
        <v>3566.932619</v>
      </c>
      <c r="K637" s="4" t="n">
        <f aca="false">偿债原表!F10</f>
        <v>0</v>
      </c>
      <c r="L637" s="4" t="n">
        <f aca="false">偿债原表!G10</f>
        <v>1075.8</v>
      </c>
      <c r="M637" s="4" t="n">
        <f aca="false">K637+L637</f>
        <v>1075.8</v>
      </c>
      <c r="N637" s="4" t="n">
        <f aca="false">J637-M637</f>
        <v>2491.132619</v>
      </c>
      <c r="O637" s="4" t="n">
        <f aca="false">O636+N637</f>
        <v>-1483.306769</v>
      </c>
      <c r="P637" s="4" t="n">
        <f aca="false">MAX(0,-(R636+N637))</f>
        <v>0</v>
      </c>
      <c r="Q637" s="4" t="n">
        <f aca="false">Q636+P637</f>
        <v>6771.733296</v>
      </c>
      <c r="R637" s="4" t="n">
        <f aca="false">O637+Q637</f>
        <v>5288.426527</v>
      </c>
    </row>
    <row r="638" customFormat="false" ht="15" hidden="false" customHeight="false" outlineLevel="0" collapsed="false">
      <c r="A638" s="2" t="s">
        <v>56</v>
      </c>
      <c r="B638" s="2" t="s">
        <v>40</v>
      </c>
      <c r="C638" s="12" t="n">
        <v>9</v>
      </c>
      <c r="D638" s="12" t="n">
        <v>2032</v>
      </c>
      <c r="E638" s="4" t="n">
        <f aca="false">INDEX(驱动复算!A10:X10,1,情景参数!B18)</f>
        <v>12952.1398</v>
      </c>
      <c r="F638" s="4" t="n">
        <f aca="false">E638*(1-情景参数!D18)</f>
        <v>12952.1398</v>
      </c>
      <c r="G638" s="4" t="n">
        <f aca="false">IF(情景参数!E18="原表",驱动复算!U10-驱动复算!W10,驱动复算!P10)</f>
        <v>8278.11729755</v>
      </c>
      <c r="H638" s="4" t="n">
        <f aca="false">IF(情景参数!E18="原表",驱动复算!W10,F638*情景参数!C18)</f>
        <v>259.042796</v>
      </c>
      <c r="I638" s="4" t="n">
        <f aca="false">IF(情景参数!E18="原表",驱动复算!U10,G638+H638)</f>
        <v>8537.16009355</v>
      </c>
      <c r="J638" s="4" t="n">
        <f aca="false">(F638-I638)*(1-情景参数!F18)</f>
        <v>4414.97970645</v>
      </c>
      <c r="K638" s="4" t="n">
        <f aca="false">偿债原表!F11</f>
        <v>2000</v>
      </c>
      <c r="L638" s="4" t="n">
        <f aca="false">偿债原表!G11</f>
        <v>1075.8</v>
      </c>
      <c r="M638" s="4" t="n">
        <f aca="false">K638+L638</f>
        <v>3075.8</v>
      </c>
      <c r="N638" s="4" t="n">
        <f aca="false">J638-M638</f>
        <v>1339.17970645</v>
      </c>
      <c r="O638" s="4" t="n">
        <f aca="false">O637+N638</f>
        <v>-144.127062549996</v>
      </c>
      <c r="P638" s="4" t="n">
        <f aca="false">MAX(0,-(R637+N638))</f>
        <v>0</v>
      </c>
      <c r="Q638" s="4" t="n">
        <f aca="false">Q637+P638</f>
        <v>6771.733296</v>
      </c>
      <c r="R638" s="4" t="n">
        <f aca="false">O638+Q638</f>
        <v>6627.60623345001</v>
      </c>
    </row>
    <row r="639" customFormat="false" ht="15" hidden="false" customHeight="false" outlineLevel="0" collapsed="false">
      <c r="A639" s="2" t="s">
        <v>56</v>
      </c>
      <c r="B639" s="2" t="s">
        <v>40</v>
      </c>
      <c r="C639" s="12" t="n">
        <v>10</v>
      </c>
      <c r="D639" s="12" t="n">
        <v>2033</v>
      </c>
      <c r="E639" s="4" t="n">
        <f aca="false">INDEX(驱动复算!A11:X11,1,情景参数!B18)</f>
        <v>13654.92603</v>
      </c>
      <c r="F639" s="4" t="n">
        <f aca="false">E639*(1-情景参数!D18)</f>
        <v>13654.92603</v>
      </c>
      <c r="G639" s="4" t="n">
        <f aca="false">IF(情景参数!E18="原表",驱动复算!U11-驱动复算!W11,驱动复算!P11)</f>
        <v>8526.4608164765</v>
      </c>
      <c r="H639" s="4" t="n">
        <f aca="false">IF(情景参数!E18="原表",驱动复算!W11,F639*情景参数!C18)</f>
        <v>273.0985206</v>
      </c>
      <c r="I639" s="4" t="n">
        <f aca="false">IF(情景参数!E18="原表",驱动复算!U11,G639+H639)</f>
        <v>8799.5593370765</v>
      </c>
      <c r="J639" s="4" t="n">
        <f aca="false">(F639-I639)*(1-情景参数!F18)</f>
        <v>4855.3666929235</v>
      </c>
      <c r="K639" s="4" t="n">
        <f aca="false">偿债原表!F12</f>
        <v>9600</v>
      </c>
      <c r="L639" s="4" t="n">
        <f aca="false">偿债原表!G12</f>
        <v>1018.8</v>
      </c>
      <c r="M639" s="4" t="n">
        <f aca="false">K639+L639</f>
        <v>10618.8</v>
      </c>
      <c r="N639" s="4" t="n">
        <f aca="false">J639-M639</f>
        <v>-5763.4333070765</v>
      </c>
      <c r="O639" s="4" t="n">
        <f aca="false">O638+N639</f>
        <v>-5907.56036962649</v>
      </c>
      <c r="P639" s="4" t="n">
        <f aca="false">MAX(0,-(R638+N639))</f>
        <v>0</v>
      </c>
      <c r="Q639" s="4" t="n">
        <f aca="false">Q638+P639</f>
        <v>6771.733296</v>
      </c>
      <c r="R639" s="4" t="n">
        <f aca="false">O639+Q639</f>
        <v>864.172926373507</v>
      </c>
    </row>
    <row r="640" customFormat="false" ht="15" hidden="false" customHeight="false" outlineLevel="0" collapsed="false">
      <c r="A640" s="2" t="s">
        <v>56</v>
      </c>
      <c r="B640" s="2" t="s">
        <v>40</v>
      </c>
      <c r="C640" s="12" t="n">
        <v>11</v>
      </c>
      <c r="D640" s="12" t="n">
        <v>2034</v>
      </c>
      <c r="E640" s="4" t="n">
        <f aca="false">INDEX(驱动复算!A12:X12,1,情景参数!B18)</f>
        <v>14296.7508675</v>
      </c>
      <c r="F640" s="4" t="n">
        <f aca="false">E640*(1-情景参数!D18)</f>
        <v>14296.7508675</v>
      </c>
      <c r="G640" s="4" t="n">
        <f aca="false">IF(情景参数!E18="原表",驱动复算!U12-驱动复算!W12,驱动复算!P12)</f>
        <v>8782.2546409708</v>
      </c>
      <c r="H640" s="4" t="n">
        <f aca="false">IF(情景参数!E18="原表",驱动复算!W12,F640*情景参数!C18)</f>
        <v>285.93501735</v>
      </c>
      <c r="I640" s="4" t="n">
        <f aca="false">IF(情景参数!E18="原表",驱动复算!U12,G640+H640)</f>
        <v>9068.1896583208</v>
      </c>
      <c r="J640" s="4" t="n">
        <f aca="false">(F640-I640)*(1-情景参数!F18)</f>
        <v>5228.56120917921</v>
      </c>
      <c r="K640" s="4" t="n">
        <f aca="false">偿债原表!F13</f>
        <v>0</v>
      </c>
      <c r="L640" s="4" t="n">
        <f aca="false">偿债原表!G13</f>
        <v>673.2</v>
      </c>
      <c r="M640" s="4" t="n">
        <f aca="false">K640+L640</f>
        <v>673.2</v>
      </c>
      <c r="N640" s="4" t="n">
        <f aca="false">J640-M640</f>
        <v>4555.36120917921</v>
      </c>
      <c r="O640" s="4" t="n">
        <f aca="false">O639+N640</f>
        <v>-1352.19916044728</v>
      </c>
      <c r="P640" s="4" t="n">
        <f aca="false">MAX(0,-(R639+N640))</f>
        <v>0</v>
      </c>
      <c r="Q640" s="4" t="n">
        <f aca="false">Q639+P640</f>
        <v>6771.733296</v>
      </c>
      <c r="R640" s="4" t="n">
        <f aca="false">O640+Q640</f>
        <v>5419.53413555272</v>
      </c>
    </row>
    <row r="641" customFormat="false" ht="15" hidden="false" customHeight="false" outlineLevel="0" collapsed="false">
      <c r="A641" s="2" t="s">
        <v>56</v>
      </c>
      <c r="B641" s="2" t="s">
        <v>40</v>
      </c>
      <c r="C641" s="12" t="n">
        <v>12</v>
      </c>
      <c r="D641" s="12" t="n">
        <v>2035</v>
      </c>
      <c r="E641" s="4" t="n">
        <f aca="false">INDEX(驱动复算!A13:X13,1,情景参数!B18)</f>
        <v>14970.666946875</v>
      </c>
      <c r="F641" s="4" t="n">
        <f aca="false">E641*(1-情景参数!D18)</f>
        <v>14970.666946875</v>
      </c>
      <c r="G641" s="4" t="n">
        <f aca="false">IF(情景参数!E18="原表",驱动复算!U13-驱动复算!W13,驱动复算!P13)</f>
        <v>9045.72228019992</v>
      </c>
      <c r="H641" s="4" t="n">
        <f aca="false">IF(情景参数!E18="原表",驱动复算!W13,F641*情景参数!C18)</f>
        <v>299.4133389375</v>
      </c>
      <c r="I641" s="4" t="n">
        <f aca="false">IF(情景参数!E18="原表",驱动复算!U13,G641+H641)</f>
        <v>9345.13561913742</v>
      </c>
      <c r="J641" s="4" t="n">
        <f aca="false">(F641-I641)*(1-情景参数!F18)</f>
        <v>5625.53132773758</v>
      </c>
      <c r="K641" s="4" t="n">
        <f aca="false">偿债原表!F14</f>
        <v>0</v>
      </c>
      <c r="L641" s="4" t="n">
        <f aca="false">偿债原表!G14</f>
        <v>673.2</v>
      </c>
      <c r="M641" s="4" t="n">
        <f aca="false">K641+L641</f>
        <v>673.2</v>
      </c>
      <c r="N641" s="4" t="n">
        <f aca="false">J641-M641</f>
        <v>4952.33132773759</v>
      </c>
      <c r="O641" s="4" t="n">
        <f aca="false">O640+N641</f>
        <v>3600.1321672903</v>
      </c>
      <c r="P641" s="4" t="n">
        <f aca="false">MAX(0,-(R640+N641))</f>
        <v>0</v>
      </c>
      <c r="Q641" s="4" t="n">
        <f aca="false">Q640+P641</f>
        <v>6771.733296</v>
      </c>
      <c r="R641" s="4" t="n">
        <f aca="false">O641+Q641</f>
        <v>10371.8654632903</v>
      </c>
    </row>
    <row r="642" customFormat="false" ht="15" hidden="false" customHeight="false" outlineLevel="0" collapsed="false">
      <c r="A642" s="2" t="s">
        <v>56</v>
      </c>
      <c r="B642" s="2" t="s">
        <v>40</v>
      </c>
      <c r="C642" s="12" t="n">
        <v>13</v>
      </c>
      <c r="D642" s="12" t="n">
        <v>2036</v>
      </c>
      <c r="E642" s="4" t="n">
        <f aca="false">INDEX(驱动复算!A14:X14,1,情景参数!B18)</f>
        <v>15678.2788302188</v>
      </c>
      <c r="F642" s="4" t="n">
        <f aca="false">E642*(1-情景参数!D18)</f>
        <v>15678.2788302188</v>
      </c>
      <c r="G642" s="4" t="n">
        <f aca="false">IF(情景参数!E18="原表",驱动复算!U14-驱动复算!W14,驱动复算!P14)</f>
        <v>9317.09394860592</v>
      </c>
      <c r="H642" s="4" t="n">
        <f aca="false">IF(情景参数!E18="原表",驱动复算!W14,F642*情景参数!C18)</f>
        <v>313.565576604375</v>
      </c>
      <c r="I642" s="4" t="n">
        <f aca="false">IF(情景参数!E18="原表",驱动复算!U14,G642+H642)</f>
        <v>9630.65952521029</v>
      </c>
      <c r="J642" s="4" t="n">
        <f aca="false">(F642-I642)*(1-情景参数!F18)</f>
        <v>6047.61930500847</v>
      </c>
      <c r="K642" s="4" t="n">
        <f aca="false">偿债原表!F15</f>
        <v>0</v>
      </c>
      <c r="L642" s="4" t="n">
        <f aca="false">偿债原表!G15</f>
        <v>673.2</v>
      </c>
      <c r="M642" s="4" t="n">
        <f aca="false">K642+L642</f>
        <v>673.2</v>
      </c>
      <c r="N642" s="4" t="n">
        <f aca="false">J642-M642</f>
        <v>5374.41930500847</v>
      </c>
      <c r="O642" s="4" t="n">
        <f aca="false">O641+N642</f>
        <v>8974.55147229877</v>
      </c>
      <c r="P642" s="4" t="n">
        <f aca="false">MAX(0,-(R641+N642))</f>
        <v>0</v>
      </c>
      <c r="Q642" s="4" t="n">
        <f aca="false">Q641+P642</f>
        <v>6771.733296</v>
      </c>
      <c r="R642" s="4" t="n">
        <f aca="false">O642+Q642</f>
        <v>15746.2847682988</v>
      </c>
    </row>
    <row r="643" customFormat="false" ht="15" hidden="false" customHeight="false" outlineLevel="0" collapsed="false">
      <c r="A643" s="2" t="s">
        <v>56</v>
      </c>
      <c r="B643" s="2" t="s">
        <v>40</v>
      </c>
      <c r="C643" s="12" t="n">
        <v>14</v>
      </c>
      <c r="D643" s="12" t="n">
        <v>2037</v>
      </c>
      <c r="E643" s="4" t="n">
        <f aca="false">INDEX(驱动复算!A15:X15,1,情景参数!B18)</f>
        <v>16421.2713077297</v>
      </c>
      <c r="F643" s="4" t="n">
        <f aca="false">E643*(1-情景参数!D18)</f>
        <v>16421.2713077297</v>
      </c>
      <c r="G643" s="4" t="n">
        <f aca="false">IF(情景参数!E18="原表",驱动复算!U15-驱动复算!W15,驱动复算!P15)</f>
        <v>9596.6067670641</v>
      </c>
      <c r="H643" s="4" t="n">
        <f aca="false">IF(情景参数!E18="原表",驱动复算!W15,F643*情景参数!C18)</f>
        <v>328.425426154594</v>
      </c>
      <c r="I643" s="4" t="n">
        <f aca="false">IF(情景参数!E18="原表",驱动复算!U15,G643+H643)</f>
        <v>9925.03219321869</v>
      </c>
      <c r="J643" s="4" t="n">
        <f aca="false">(F643-I643)*(1-情景参数!F18)</f>
        <v>6496.23911451101</v>
      </c>
      <c r="K643" s="4" t="n">
        <f aca="false">偿债原表!F16</f>
        <v>1000</v>
      </c>
      <c r="L643" s="4" t="n">
        <f aca="false">偿债原表!G16</f>
        <v>673.2</v>
      </c>
      <c r="M643" s="4" t="n">
        <f aca="false">K643+L643</f>
        <v>1673.2</v>
      </c>
      <c r="N643" s="4" t="n">
        <f aca="false">J643-M643</f>
        <v>4823.03911451101</v>
      </c>
      <c r="O643" s="4" t="n">
        <f aca="false">O642+N643</f>
        <v>13797.5905868098</v>
      </c>
      <c r="P643" s="4" t="n">
        <f aca="false">MAX(0,-(R642+N643))</f>
        <v>0</v>
      </c>
      <c r="Q643" s="4" t="n">
        <f aca="false">Q642+P643</f>
        <v>6771.733296</v>
      </c>
      <c r="R643" s="4" t="n">
        <f aca="false">O643+Q643</f>
        <v>20569.3238828098</v>
      </c>
    </row>
    <row r="644" customFormat="false" ht="15" hidden="false" customHeight="false" outlineLevel="0" collapsed="false">
      <c r="A644" s="2" t="s">
        <v>56</v>
      </c>
      <c r="B644" s="2" t="s">
        <v>40</v>
      </c>
      <c r="C644" s="12" t="n">
        <v>15</v>
      </c>
      <c r="D644" s="12" t="n">
        <v>2038</v>
      </c>
      <c r="E644" s="4" t="n">
        <f aca="false">INDEX(驱动复算!A16:X16,1,情景参数!B18)</f>
        <v>16756.9170762843</v>
      </c>
      <c r="F644" s="4" t="n">
        <f aca="false">E644*(1-情景参数!D18)</f>
        <v>16756.9170762843</v>
      </c>
      <c r="G644" s="4" t="n">
        <f aca="false">IF(情景参数!E18="原表",驱动复算!U16-驱动复算!W16,驱动复算!P16)</f>
        <v>9884.50497007602</v>
      </c>
      <c r="H644" s="4" t="n">
        <f aca="false">IF(情景参数!E18="原表",驱动复算!W16,F644*情景参数!C18)</f>
        <v>335.138341525686</v>
      </c>
      <c r="I644" s="4" t="n">
        <f aca="false">IF(情景参数!E18="原表",驱动复算!U16,G644+H644)</f>
        <v>10219.6433116017</v>
      </c>
      <c r="J644" s="4" t="n">
        <f aca="false">(F644-I644)*(1-情景参数!F18)</f>
        <v>6537.27376468259</v>
      </c>
      <c r="K644" s="4" t="n">
        <f aca="false">偿债原表!F17</f>
        <v>0</v>
      </c>
      <c r="L644" s="4" t="n">
        <f aca="false">偿债原表!G17</f>
        <v>644</v>
      </c>
      <c r="M644" s="4" t="n">
        <f aca="false">K644+L644</f>
        <v>644</v>
      </c>
      <c r="N644" s="4" t="n">
        <f aca="false">J644-M644</f>
        <v>5893.27376468259</v>
      </c>
      <c r="O644" s="4" t="n">
        <f aca="false">O643+N644</f>
        <v>19690.8643514924</v>
      </c>
      <c r="P644" s="4" t="n">
        <f aca="false">MAX(0,-(R643+N644))</f>
        <v>0</v>
      </c>
      <c r="Q644" s="4" t="n">
        <f aca="false">Q643+P644</f>
        <v>6771.733296</v>
      </c>
      <c r="R644" s="4" t="n">
        <f aca="false">O644+Q644</f>
        <v>26462.5976474924</v>
      </c>
    </row>
    <row r="645" customFormat="false" ht="15" hidden="false" customHeight="false" outlineLevel="0" collapsed="false">
      <c r="A645" s="2" t="s">
        <v>56</v>
      </c>
      <c r="B645" s="2" t="s">
        <v>40</v>
      </c>
      <c r="C645" s="12" t="n">
        <v>16</v>
      </c>
      <c r="D645" s="12" t="n">
        <v>2039</v>
      </c>
      <c r="E645" s="4" t="n">
        <f aca="false">INDEX(驱动复算!A17:X17,1,情景参数!B18)</f>
        <v>17075.21505365</v>
      </c>
      <c r="F645" s="4" t="n">
        <f aca="false">E645*(1-情景参数!D18)</f>
        <v>17075.21505365</v>
      </c>
      <c r="G645" s="4" t="n">
        <f aca="false">IF(情景参数!E18="原表",驱动复算!U17-驱动复算!W17,驱动复算!P17)</f>
        <v>10181.0401191783</v>
      </c>
      <c r="H645" s="4" t="n">
        <f aca="false">IF(情景参数!E18="原表",驱动复算!W17,F645*情景参数!C18)</f>
        <v>341.504301073</v>
      </c>
      <c r="I645" s="4" t="n">
        <f aca="false">IF(情景参数!E18="原表",驱动复算!U17,G645+H645)</f>
        <v>10522.5444202513</v>
      </c>
      <c r="J645" s="4" t="n">
        <f aca="false">(F645-I645)*(1-情景参数!F18)</f>
        <v>6552.67063339868</v>
      </c>
      <c r="K645" s="4" t="n">
        <f aca="false">偿债原表!F18</f>
        <v>0</v>
      </c>
      <c r="L645" s="4" t="n">
        <f aca="false">偿债原表!G18</f>
        <v>644</v>
      </c>
      <c r="M645" s="4" t="n">
        <f aca="false">K645+L645</f>
        <v>644</v>
      </c>
      <c r="N645" s="4" t="n">
        <f aca="false">J645-M645</f>
        <v>5908.67063339868</v>
      </c>
      <c r="O645" s="4" t="n">
        <f aca="false">O644+N645</f>
        <v>25599.534984891</v>
      </c>
      <c r="P645" s="4" t="n">
        <f aca="false">MAX(0,-(R644+N645))</f>
        <v>0</v>
      </c>
      <c r="Q645" s="4" t="n">
        <f aca="false">Q644+P645</f>
        <v>6771.733296</v>
      </c>
      <c r="R645" s="4" t="n">
        <f aca="false">O645+Q645</f>
        <v>32371.268280891</v>
      </c>
    </row>
    <row r="646" customFormat="false" ht="15" hidden="false" customHeight="false" outlineLevel="0" collapsed="false">
      <c r="A646" s="2" t="s">
        <v>56</v>
      </c>
      <c r="B646" s="2" t="s">
        <v>40</v>
      </c>
      <c r="C646" s="12" t="n">
        <v>17</v>
      </c>
      <c r="D646" s="12" t="n">
        <v>2040</v>
      </c>
      <c r="E646" s="4" t="n">
        <f aca="false">INDEX(驱动复算!A18:X18,1,情景参数!B18)</f>
        <v>17399.878990563</v>
      </c>
      <c r="F646" s="4" t="n">
        <f aca="false">E646*(1-情景参数!D18)</f>
        <v>17399.878990563</v>
      </c>
      <c r="G646" s="4" t="n">
        <f aca="false">IF(情景参数!E18="原表",驱动复算!U18-驱动复算!W18,驱动复算!P18)</f>
        <v>10486.4713227536</v>
      </c>
      <c r="H646" s="4" t="n">
        <f aca="false">IF(情景参数!E18="原表",驱动复算!W18,F646*情景参数!C18)</f>
        <v>347.99757981126</v>
      </c>
      <c r="I646" s="4" t="n">
        <f aca="false">IF(情景参数!E18="原表",驱动复算!U18,G646+H646)</f>
        <v>10834.4689025649</v>
      </c>
      <c r="J646" s="4" t="n">
        <f aca="false">(F646-I646)*(1-情景参数!F18)</f>
        <v>6565.41008799807</v>
      </c>
      <c r="K646" s="4" t="n">
        <f aca="false">偿债原表!F19</f>
        <v>0</v>
      </c>
      <c r="L646" s="4" t="n">
        <f aca="false">偿债原表!G19</f>
        <v>644</v>
      </c>
      <c r="M646" s="4" t="n">
        <f aca="false">K646+L646</f>
        <v>644</v>
      </c>
      <c r="N646" s="4" t="n">
        <f aca="false">J646-M646</f>
        <v>5921.41008799807</v>
      </c>
      <c r="O646" s="4" t="n">
        <f aca="false">O645+N646</f>
        <v>31520.9450728891</v>
      </c>
      <c r="P646" s="4" t="n">
        <f aca="false">MAX(0,-(R645+N646))</f>
        <v>0</v>
      </c>
      <c r="Q646" s="4" t="n">
        <f aca="false">Q645+P646</f>
        <v>6771.733296</v>
      </c>
      <c r="R646" s="4" t="n">
        <f aca="false">O646+Q646</f>
        <v>38292.6783688891</v>
      </c>
    </row>
    <row r="647" customFormat="false" ht="15" hidden="false" customHeight="false" outlineLevel="0" collapsed="false">
      <c r="A647" s="2" t="s">
        <v>56</v>
      </c>
      <c r="B647" s="2" t="s">
        <v>40</v>
      </c>
      <c r="C647" s="12" t="n">
        <v>18</v>
      </c>
      <c r="D647" s="12" t="n">
        <v>2041</v>
      </c>
      <c r="E647" s="4" t="n">
        <f aca="false">INDEX(驱动复算!A19:X19,1,情景参数!B18)</f>
        <v>17731.0362062142</v>
      </c>
      <c r="F647" s="4" t="n">
        <f aca="false">E647*(1-情景参数!D18)</f>
        <v>17731.0362062142</v>
      </c>
      <c r="G647" s="4" t="n">
        <f aca="false">IF(情景参数!E18="原表",驱动复算!U19-驱动复算!W19,驱动复算!P19)</f>
        <v>10801.0654624363</v>
      </c>
      <c r="H647" s="4" t="n">
        <f aca="false">IF(情景参数!E18="原表",驱动复算!W19,F647*情景参数!C18)</f>
        <v>354.620724124285</v>
      </c>
      <c r="I647" s="4" t="n">
        <f aca="false">IF(情景参数!E18="原表",驱动复算!U19,G647+H647)</f>
        <v>11155.6861865605</v>
      </c>
      <c r="J647" s="4" t="n">
        <f aca="false">(F647-I647)*(1-情景参数!F18)</f>
        <v>6575.35001965369</v>
      </c>
      <c r="K647" s="4" t="n">
        <f aca="false">偿债原表!F20</f>
        <v>20000</v>
      </c>
      <c r="L647" s="4" t="n">
        <f aca="false">偿债原表!G20</f>
        <v>644</v>
      </c>
      <c r="M647" s="4" t="n">
        <f aca="false">K647+L647</f>
        <v>20644</v>
      </c>
      <c r="N647" s="4" t="n">
        <f aca="false">J647-M647</f>
        <v>-14068.6499803463</v>
      </c>
      <c r="O647" s="4" t="n">
        <f aca="false">O646+N647</f>
        <v>17452.2950925428</v>
      </c>
      <c r="P647" s="4" t="n">
        <f aca="false">MAX(0,-(R646+N647))</f>
        <v>0</v>
      </c>
      <c r="Q647" s="4" t="n">
        <f aca="false">Q646+P647</f>
        <v>6771.733296</v>
      </c>
      <c r="R647" s="4" t="n">
        <f aca="false">O647+Q647</f>
        <v>24224.0283885428</v>
      </c>
    </row>
    <row r="648" customFormat="false" ht="15" hidden="false" customHeight="false" outlineLevel="0" collapsed="false">
      <c r="A648" s="2" t="s">
        <v>57</v>
      </c>
      <c r="B648" s="2" t="s">
        <v>39</v>
      </c>
      <c r="C648" s="12" t="n">
        <v>0</v>
      </c>
      <c r="D648" s="13" t="s">
        <v>248</v>
      </c>
      <c r="E648" s="4" t="n">
        <f aca="false">0</f>
        <v>0</v>
      </c>
      <c r="F648" s="4" t="n">
        <f aca="false">E648*(1-情景参数!D19)</f>
        <v>0</v>
      </c>
      <c r="G648" s="4" t="n">
        <f aca="false">0</f>
        <v>0</v>
      </c>
      <c r="H648" s="4" t="n">
        <f aca="false">0</f>
        <v>0</v>
      </c>
      <c r="I648" s="4" t="n">
        <f aca="false">0</f>
        <v>0</v>
      </c>
      <c r="J648" s="4" t="n">
        <f aca="false">(F648-I648)*(1-情景参数!F19)</f>
        <v>0</v>
      </c>
      <c r="K648" s="4" t="n">
        <f aca="false">偿债原表!C2</f>
        <v>0</v>
      </c>
      <c r="L648" s="4" t="n">
        <f aca="false">偿债原表!D2</f>
        <v>1374.2</v>
      </c>
      <c r="M648" s="4" t="n">
        <f aca="false">K648+L648</f>
        <v>1374.2</v>
      </c>
      <c r="N648" s="4" t="n">
        <f aca="false">J648-M648</f>
        <v>-1374.2</v>
      </c>
      <c r="O648" s="4" t="n">
        <f aca="false">N648</f>
        <v>-1374.2</v>
      </c>
      <c r="P648" s="4" t="n">
        <f aca="false">MAX(0,-N648)</f>
        <v>1374.2</v>
      </c>
      <c r="Q648" s="4" t="n">
        <f aca="false">P648</f>
        <v>1374.2</v>
      </c>
      <c r="R648" s="4" t="n">
        <f aca="false">O648+Q648</f>
        <v>0</v>
      </c>
    </row>
    <row r="649" customFormat="false" ht="15" hidden="false" customHeight="false" outlineLevel="0" collapsed="false">
      <c r="A649" s="2" t="s">
        <v>57</v>
      </c>
      <c r="B649" s="2" t="s">
        <v>39</v>
      </c>
      <c r="C649" s="12" t="n">
        <v>1</v>
      </c>
      <c r="D649" s="12" t="n">
        <v>2024</v>
      </c>
      <c r="E649" s="4" t="n">
        <f aca="false">INDEX(驱动复算!A2:X2,1,情景参数!B19)</f>
        <v>0</v>
      </c>
      <c r="F649" s="4" t="n">
        <f aca="false">E649*(1-情景参数!D19)</f>
        <v>0</v>
      </c>
      <c r="G649" s="4" t="n">
        <f aca="false">IF(情景参数!E19="原表",驱动复算!U2-驱动复算!W2,驱动复算!P2)</f>
        <v>0</v>
      </c>
      <c r="H649" s="4" t="n">
        <f aca="false">IF(情景参数!E19="原表",驱动复算!W2,F649*情景参数!C19)</f>
        <v>0</v>
      </c>
      <c r="I649" s="4" t="n">
        <f aca="false">IF(情景参数!E19="原表",驱动复算!U2,G649+H649)</f>
        <v>0</v>
      </c>
      <c r="J649" s="4" t="n">
        <f aca="false">(F649-I649)*(1-情景参数!F19)</f>
        <v>0</v>
      </c>
      <c r="K649" s="4" t="n">
        <f aca="false">偿债原表!C3</f>
        <v>0</v>
      </c>
      <c r="L649" s="4" t="n">
        <f aca="false">偿债原表!D3</f>
        <v>1093.2</v>
      </c>
      <c r="M649" s="4" t="n">
        <f aca="false">K649+L649</f>
        <v>1093.2</v>
      </c>
      <c r="N649" s="4" t="n">
        <f aca="false">J649-M649</f>
        <v>-1093.2</v>
      </c>
      <c r="O649" s="4" t="n">
        <f aca="false">O648+N649</f>
        <v>-2467.4</v>
      </c>
      <c r="P649" s="4" t="n">
        <f aca="false">MAX(0,-(R648+N649))</f>
        <v>1093.2</v>
      </c>
      <c r="Q649" s="4" t="n">
        <f aca="false">Q648+P649</f>
        <v>2467.4</v>
      </c>
      <c r="R649" s="4" t="n">
        <f aca="false">O649+Q649</f>
        <v>0</v>
      </c>
    </row>
    <row r="650" customFormat="false" ht="15" hidden="false" customHeight="false" outlineLevel="0" collapsed="false">
      <c r="A650" s="2" t="s">
        <v>57</v>
      </c>
      <c r="B650" s="2" t="s">
        <v>39</v>
      </c>
      <c r="C650" s="12" t="n">
        <v>2</v>
      </c>
      <c r="D650" s="12" t="n">
        <v>2025</v>
      </c>
      <c r="E650" s="4" t="n">
        <f aca="false">INDEX(驱动复算!A3:X3,1,情景参数!B19)</f>
        <v>0</v>
      </c>
      <c r="F650" s="4" t="n">
        <f aca="false">E650*(1-情景参数!D19)</f>
        <v>0</v>
      </c>
      <c r="G650" s="4" t="n">
        <f aca="false">IF(情景参数!E19="原表",驱动复算!U3-驱动复算!W3,驱动复算!P3)</f>
        <v>0</v>
      </c>
      <c r="H650" s="4" t="n">
        <f aca="false">IF(情景参数!E19="原表",驱动复算!W3,F650*情景参数!C19)</f>
        <v>0</v>
      </c>
      <c r="I650" s="4" t="n">
        <f aca="false">IF(情景参数!E19="原表",驱动复算!U3,G650+H650)</f>
        <v>0</v>
      </c>
      <c r="J650" s="4" t="n">
        <f aca="false">(F650-I650)*(1-情景参数!F19)</f>
        <v>0</v>
      </c>
      <c r="K650" s="4" t="n">
        <f aca="false">偿债原表!C4</f>
        <v>0</v>
      </c>
      <c r="L650" s="4" t="n">
        <f aca="false">偿债原表!D4</f>
        <v>1093.2</v>
      </c>
      <c r="M650" s="4" t="n">
        <f aca="false">K650+L650</f>
        <v>1093.2</v>
      </c>
      <c r="N650" s="4" t="n">
        <f aca="false">J650-M650</f>
        <v>-1093.2</v>
      </c>
      <c r="O650" s="4" t="n">
        <f aca="false">O649+N650</f>
        <v>-3560.6</v>
      </c>
      <c r="P650" s="4" t="n">
        <f aca="false">MAX(0,-(R649+N650))</f>
        <v>1093.2</v>
      </c>
      <c r="Q650" s="4" t="n">
        <f aca="false">Q649+P650</f>
        <v>3560.6</v>
      </c>
      <c r="R650" s="4" t="n">
        <f aca="false">O650+Q650</f>
        <v>0</v>
      </c>
    </row>
    <row r="651" customFormat="false" ht="15" hidden="false" customHeight="false" outlineLevel="0" collapsed="false">
      <c r="A651" s="2" t="s">
        <v>57</v>
      </c>
      <c r="B651" s="2" t="s">
        <v>39</v>
      </c>
      <c r="C651" s="12" t="n">
        <v>3</v>
      </c>
      <c r="D651" s="12" t="n">
        <v>2026</v>
      </c>
      <c r="E651" s="4" t="n">
        <f aca="false">INDEX(驱动复算!A4:X4,1,情景参数!B19)</f>
        <v>0</v>
      </c>
      <c r="F651" s="4" t="n">
        <f aca="false">E651*(1-情景参数!D19)</f>
        <v>0</v>
      </c>
      <c r="G651" s="4" t="n">
        <f aca="false">IF(情景参数!E19="原表",驱动复算!U4-驱动复算!W4,驱动复算!P4)</f>
        <v>0</v>
      </c>
      <c r="H651" s="4" t="n">
        <f aca="false">IF(情景参数!E19="原表",驱动复算!W4,F651*情景参数!C19)</f>
        <v>0</v>
      </c>
      <c r="I651" s="4" t="n">
        <f aca="false">IF(情景参数!E19="原表",驱动复算!U4,G651+H651)</f>
        <v>0</v>
      </c>
      <c r="J651" s="4" t="n">
        <f aca="false">(F651-I651)*(1-情景参数!F19)</f>
        <v>0</v>
      </c>
      <c r="K651" s="4" t="n">
        <f aca="false">偿债原表!C5</f>
        <v>0</v>
      </c>
      <c r="L651" s="4" t="n">
        <f aca="false">偿债原表!D5</f>
        <v>1093.2</v>
      </c>
      <c r="M651" s="4" t="n">
        <f aca="false">K651+L651</f>
        <v>1093.2</v>
      </c>
      <c r="N651" s="4" t="n">
        <f aca="false">J651-M651</f>
        <v>-1093.2</v>
      </c>
      <c r="O651" s="4" t="n">
        <f aca="false">O650+N651</f>
        <v>-4653.8</v>
      </c>
      <c r="P651" s="4" t="n">
        <f aca="false">MAX(0,-(R650+N651))</f>
        <v>1093.2</v>
      </c>
      <c r="Q651" s="4" t="n">
        <f aca="false">Q650+P651</f>
        <v>4653.8</v>
      </c>
      <c r="R651" s="4" t="n">
        <f aca="false">O651+Q651</f>
        <v>0</v>
      </c>
    </row>
    <row r="652" customFormat="false" ht="15" hidden="false" customHeight="false" outlineLevel="0" collapsed="false">
      <c r="A652" s="2" t="s">
        <v>57</v>
      </c>
      <c r="B652" s="2" t="s">
        <v>39</v>
      </c>
      <c r="C652" s="12" t="n">
        <v>4</v>
      </c>
      <c r="D652" s="12" t="n">
        <v>2027</v>
      </c>
      <c r="E652" s="4" t="n">
        <f aca="false">INDEX(驱动复算!A5:X5,1,情景参数!B19)</f>
        <v>0</v>
      </c>
      <c r="F652" s="4" t="n">
        <f aca="false">E652*(1-情景参数!D19)</f>
        <v>0</v>
      </c>
      <c r="G652" s="4" t="n">
        <f aca="false">IF(情景参数!E19="原表",驱动复算!U5-驱动复算!W5,驱动复算!P5)</f>
        <v>0</v>
      </c>
      <c r="H652" s="4" t="n">
        <f aca="false">IF(情景参数!E19="原表",驱动复算!W5,F652*情景参数!C19)</f>
        <v>0</v>
      </c>
      <c r="I652" s="4" t="n">
        <f aca="false">IF(情景参数!E19="原表",驱动复算!U5,G652+H652)</f>
        <v>0</v>
      </c>
      <c r="J652" s="4" t="n">
        <f aca="false">(F652-I652)*(1-情景参数!F19)</f>
        <v>0</v>
      </c>
      <c r="K652" s="4" t="n">
        <f aca="false">偿债原表!C6</f>
        <v>0</v>
      </c>
      <c r="L652" s="4" t="n">
        <f aca="false">偿债原表!D6</f>
        <v>1093.2</v>
      </c>
      <c r="M652" s="4" t="n">
        <f aca="false">K652+L652</f>
        <v>1093.2</v>
      </c>
      <c r="N652" s="4" t="n">
        <f aca="false">J652-M652</f>
        <v>-1093.2</v>
      </c>
      <c r="O652" s="4" t="n">
        <f aca="false">O651+N652</f>
        <v>-5747</v>
      </c>
      <c r="P652" s="4" t="n">
        <f aca="false">MAX(0,-(R651+N652))</f>
        <v>1093.2</v>
      </c>
      <c r="Q652" s="4" t="n">
        <f aca="false">Q651+P652</f>
        <v>5747</v>
      </c>
      <c r="R652" s="4" t="n">
        <f aca="false">O652+Q652</f>
        <v>0</v>
      </c>
    </row>
    <row r="653" customFormat="false" ht="15" hidden="false" customHeight="false" outlineLevel="0" collapsed="false">
      <c r="A653" s="2" t="s">
        <v>57</v>
      </c>
      <c r="B653" s="2" t="s">
        <v>39</v>
      </c>
      <c r="C653" s="12" t="n">
        <v>5</v>
      </c>
      <c r="D653" s="12" t="n">
        <v>2028</v>
      </c>
      <c r="E653" s="4" t="n">
        <f aca="false">INDEX(驱动复算!A6:X6,1,情景参数!B19)</f>
        <v>9076.9048</v>
      </c>
      <c r="F653" s="4" t="n">
        <f aca="false">E653*(1-情景参数!D19)</f>
        <v>8623.05956</v>
      </c>
      <c r="G653" s="4" t="n">
        <f aca="false">IF(情景参数!E19="原表",驱动复算!U6-驱动复算!W6,驱动复算!P6)</f>
        <v>7355</v>
      </c>
      <c r="H653" s="4" t="n">
        <f aca="false">IF(情景参数!E19="原表",驱动复算!W6,F653*情景参数!C19)</f>
        <v>172.4611912</v>
      </c>
      <c r="I653" s="4" t="n">
        <f aca="false">IF(情景参数!E19="原表",驱动复算!U6,G653+H653)</f>
        <v>7527.4611912</v>
      </c>
      <c r="J653" s="4" t="n">
        <f aca="false">(F653-I653)*(1-情景参数!F19)</f>
        <v>1095.5983688</v>
      </c>
      <c r="K653" s="4" t="n">
        <f aca="false">偿债原表!C7</f>
        <v>11000</v>
      </c>
      <c r="L653" s="4" t="n">
        <f aca="false">偿债原表!D7</f>
        <v>1093.2</v>
      </c>
      <c r="M653" s="4" t="n">
        <f aca="false">K653+L653</f>
        <v>12093.2</v>
      </c>
      <c r="N653" s="4" t="n">
        <f aca="false">J653-M653</f>
        <v>-10997.6016312</v>
      </c>
      <c r="O653" s="4" t="n">
        <f aca="false">O652+N653</f>
        <v>-16744.6016312</v>
      </c>
      <c r="P653" s="4" t="n">
        <f aca="false">MAX(0,-(R652+N653))</f>
        <v>10997.6016312</v>
      </c>
      <c r="Q653" s="4" t="n">
        <f aca="false">Q652+P653</f>
        <v>16744.6016312</v>
      </c>
      <c r="R653" s="4" t="n">
        <f aca="false">O653+Q653</f>
        <v>0</v>
      </c>
    </row>
    <row r="654" customFormat="false" ht="15" hidden="false" customHeight="false" outlineLevel="0" collapsed="false">
      <c r="A654" s="2" t="s">
        <v>57</v>
      </c>
      <c r="B654" s="2" t="s">
        <v>39</v>
      </c>
      <c r="C654" s="12" t="n">
        <v>6</v>
      </c>
      <c r="D654" s="12" t="n">
        <v>2029</v>
      </c>
      <c r="E654" s="4" t="n">
        <f aca="false">INDEX(驱动复算!A7:X7,1,情景参数!B19)</f>
        <v>9911.9048</v>
      </c>
      <c r="F654" s="4" t="n">
        <f aca="false">E654*(1-情景参数!D19)</f>
        <v>9416.30956</v>
      </c>
      <c r="G654" s="4" t="n">
        <f aca="false">IF(情景参数!E19="原表",驱动复算!U7-驱动复算!W7,驱动复算!P7)</f>
        <v>7575.65</v>
      </c>
      <c r="H654" s="4" t="n">
        <f aca="false">IF(情景参数!E19="原表",驱动复算!W7,F654*情景参数!C19)</f>
        <v>188.3261912</v>
      </c>
      <c r="I654" s="4" t="n">
        <f aca="false">IF(情景参数!E19="原表",驱动复算!U7,G654+H654)</f>
        <v>7763.9761912</v>
      </c>
      <c r="J654" s="4" t="n">
        <f aca="false">(F654-I654)*(1-情景参数!F19)</f>
        <v>1652.3333688</v>
      </c>
      <c r="K654" s="4" t="n">
        <f aca="false">偿债原表!C8</f>
        <v>0</v>
      </c>
      <c r="L654" s="4" t="n">
        <f aca="false">偿债原表!D8</f>
        <v>730.2</v>
      </c>
      <c r="M654" s="4" t="n">
        <f aca="false">K654+L654</f>
        <v>730.2</v>
      </c>
      <c r="N654" s="4" t="n">
        <f aca="false">J654-M654</f>
        <v>922.133368799998</v>
      </c>
      <c r="O654" s="4" t="n">
        <f aca="false">O653+N654</f>
        <v>-15822.4682624</v>
      </c>
      <c r="P654" s="4" t="n">
        <f aca="false">MAX(0,-(R653+N654))</f>
        <v>0</v>
      </c>
      <c r="Q654" s="4" t="n">
        <f aca="false">Q653+P654</f>
        <v>16744.6016312</v>
      </c>
      <c r="R654" s="4" t="n">
        <f aca="false">O654+Q654</f>
        <v>922.133368799998</v>
      </c>
    </row>
    <row r="655" customFormat="false" ht="15" hidden="false" customHeight="false" outlineLevel="0" collapsed="false">
      <c r="A655" s="2" t="s">
        <v>57</v>
      </c>
      <c r="B655" s="2" t="s">
        <v>39</v>
      </c>
      <c r="C655" s="12" t="n">
        <v>7</v>
      </c>
      <c r="D655" s="12" t="n">
        <v>2030</v>
      </c>
      <c r="E655" s="4" t="n">
        <f aca="false">INDEX(驱动复算!A8:X8,1,情景参数!B19)</f>
        <v>10830.4048</v>
      </c>
      <c r="F655" s="4" t="n">
        <f aca="false">E655*(1-情景参数!D19)</f>
        <v>10288.88456</v>
      </c>
      <c r="G655" s="4" t="n">
        <f aca="false">IF(情景参数!E19="原表",驱动复算!U8-驱动复算!W8,驱动复算!P8)</f>
        <v>7802.9195</v>
      </c>
      <c r="H655" s="4" t="n">
        <f aca="false">IF(情景参数!E19="原表",驱动复算!W8,F655*情景参数!C19)</f>
        <v>205.7776912</v>
      </c>
      <c r="I655" s="4" t="n">
        <f aca="false">IF(情景参数!E19="原表",驱动复算!U8,G655+H655)</f>
        <v>8008.6971912</v>
      </c>
      <c r="J655" s="4" t="n">
        <f aca="false">(F655-I655)*(1-情景参数!F19)</f>
        <v>2280.1873688</v>
      </c>
      <c r="K655" s="4" t="n">
        <f aca="false">偿债原表!C9</f>
        <v>0</v>
      </c>
      <c r="L655" s="4" t="n">
        <f aca="false">偿债原表!D9</f>
        <v>730.2</v>
      </c>
      <c r="M655" s="4" t="n">
        <f aca="false">K655+L655</f>
        <v>730.2</v>
      </c>
      <c r="N655" s="4" t="n">
        <f aca="false">J655-M655</f>
        <v>1549.9873688</v>
      </c>
      <c r="O655" s="4" t="n">
        <f aca="false">O654+N655</f>
        <v>-14272.4808936</v>
      </c>
      <c r="P655" s="4" t="n">
        <f aca="false">MAX(0,-(R654+N655))</f>
        <v>0</v>
      </c>
      <c r="Q655" s="4" t="n">
        <f aca="false">Q654+P655</f>
        <v>16744.6016312</v>
      </c>
      <c r="R655" s="4" t="n">
        <f aca="false">O655+Q655</f>
        <v>2472.1207376</v>
      </c>
    </row>
    <row r="656" customFormat="false" ht="15" hidden="false" customHeight="false" outlineLevel="0" collapsed="false">
      <c r="A656" s="2" t="s">
        <v>57</v>
      </c>
      <c r="B656" s="2" t="s">
        <v>39</v>
      </c>
      <c r="C656" s="12" t="n">
        <v>8</v>
      </c>
      <c r="D656" s="12" t="n">
        <v>2031</v>
      </c>
      <c r="E656" s="4" t="n">
        <f aca="false">INDEX(驱动复算!A9:X9,1,情景参数!B19)</f>
        <v>11840.7548</v>
      </c>
      <c r="F656" s="4" t="n">
        <f aca="false">E656*(1-情景参数!D19)</f>
        <v>11248.71706</v>
      </c>
      <c r="G656" s="4" t="n">
        <f aca="false">IF(情景参数!E19="原表",驱动复算!U9-驱动复算!W9,驱动复算!P9)</f>
        <v>8037.007085</v>
      </c>
      <c r="H656" s="4" t="n">
        <f aca="false">IF(情景参数!E19="原表",驱动复算!W9,F656*情景参数!C19)</f>
        <v>224.9743412</v>
      </c>
      <c r="I656" s="4" t="n">
        <f aca="false">IF(情景参数!E19="原表",驱动复算!U9,G656+H656)</f>
        <v>8261.9814262</v>
      </c>
      <c r="J656" s="4" t="n">
        <f aca="false">(F656-I656)*(1-情景参数!F19)</f>
        <v>2986.7356338</v>
      </c>
      <c r="K656" s="4" t="n">
        <f aca="false">偿债原表!C10</f>
        <v>0</v>
      </c>
      <c r="L656" s="4" t="n">
        <f aca="false">偿债原表!D10</f>
        <v>730.2</v>
      </c>
      <c r="M656" s="4" t="n">
        <f aca="false">K656+L656</f>
        <v>730.2</v>
      </c>
      <c r="N656" s="4" t="n">
        <f aca="false">J656-M656</f>
        <v>2256.5356338</v>
      </c>
      <c r="O656" s="4" t="n">
        <f aca="false">O655+N656</f>
        <v>-12015.9452598</v>
      </c>
      <c r="P656" s="4" t="n">
        <f aca="false">MAX(0,-(R655+N656))</f>
        <v>0</v>
      </c>
      <c r="Q656" s="4" t="n">
        <f aca="false">Q655+P656</f>
        <v>16744.6016312</v>
      </c>
      <c r="R656" s="4" t="n">
        <f aca="false">O656+Q656</f>
        <v>4728.6563714</v>
      </c>
    </row>
    <row r="657" customFormat="false" ht="15" hidden="false" customHeight="false" outlineLevel="0" collapsed="false">
      <c r="A657" s="2" t="s">
        <v>57</v>
      </c>
      <c r="B657" s="2" t="s">
        <v>39</v>
      </c>
      <c r="C657" s="12" t="n">
        <v>9</v>
      </c>
      <c r="D657" s="12" t="n">
        <v>2032</v>
      </c>
      <c r="E657" s="4" t="n">
        <f aca="false">INDEX(驱动复算!A10:X10,1,情景参数!B19)</f>
        <v>12952.1398</v>
      </c>
      <c r="F657" s="4" t="n">
        <f aca="false">E657*(1-情景参数!D19)</f>
        <v>12304.53281</v>
      </c>
      <c r="G657" s="4" t="n">
        <f aca="false">IF(情景参数!E19="原表",驱动复算!U10-驱动复算!W10,驱动复算!P10)</f>
        <v>8278.11729755</v>
      </c>
      <c r="H657" s="4" t="n">
        <f aca="false">IF(情景参数!E19="原表",驱动复算!W10,F657*情景参数!C19)</f>
        <v>246.0906562</v>
      </c>
      <c r="I657" s="4" t="n">
        <f aca="false">IF(情景参数!E19="原表",驱动复算!U10,G657+H657)</f>
        <v>8524.20795375</v>
      </c>
      <c r="J657" s="4" t="n">
        <f aca="false">(F657-I657)*(1-情景参数!F19)</f>
        <v>3780.32485625</v>
      </c>
      <c r="K657" s="4" t="n">
        <f aca="false">偿债原表!C11</f>
        <v>2000</v>
      </c>
      <c r="L657" s="4" t="n">
        <f aca="false">偿债原表!D11</f>
        <v>730.2</v>
      </c>
      <c r="M657" s="4" t="n">
        <f aca="false">K657+L657</f>
        <v>2730.2</v>
      </c>
      <c r="N657" s="4" t="n">
        <f aca="false">J657-M657</f>
        <v>1050.12485625</v>
      </c>
      <c r="O657" s="4" t="n">
        <f aca="false">O656+N657</f>
        <v>-10965.82040355</v>
      </c>
      <c r="P657" s="4" t="n">
        <f aca="false">MAX(0,-(R656+N657))</f>
        <v>0</v>
      </c>
      <c r="Q657" s="4" t="n">
        <f aca="false">Q656+P657</f>
        <v>16744.6016312</v>
      </c>
      <c r="R657" s="4" t="n">
        <f aca="false">O657+Q657</f>
        <v>5778.78122765</v>
      </c>
    </row>
    <row r="658" customFormat="false" ht="15" hidden="false" customHeight="false" outlineLevel="0" collapsed="false">
      <c r="A658" s="2" t="s">
        <v>57</v>
      </c>
      <c r="B658" s="2" t="s">
        <v>39</v>
      </c>
      <c r="C658" s="12" t="n">
        <v>10</v>
      </c>
      <c r="D658" s="12" t="n">
        <v>2033</v>
      </c>
      <c r="E658" s="4" t="n">
        <f aca="false">INDEX(驱动复算!A11:X11,1,情景参数!B19)</f>
        <v>13654.92603</v>
      </c>
      <c r="F658" s="4" t="n">
        <f aca="false">E658*(1-情景参数!D19)</f>
        <v>12972.1797285</v>
      </c>
      <c r="G658" s="4" t="n">
        <f aca="false">IF(情景参数!E19="原表",驱动复算!U11-驱动复算!W11,驱动复算!P11)</f>
        <v>8526.4608164765</v>
      </c>
      <c r="H658" s="4" t="n">
        <f aca="false">IF(情景参数!E19="原表",驱动复算!W11,F658*情景参数!C19)</f>
        <v>259.44359457</v>
      </c>
      <c r="I658" s="4" t="n">
        <f aca="false">IF(情景参数!E19="原表",驱动复算!U11,G658+H658)</f>
        <v>8785.9044110465</v>
      </c>
      <c r="J658" s="4" t="n">
        <f aca="false">(F658-I658)*(1-情景参数!F19)</f>
        <v>4186.2753174535</v>
      </c>
      <c r="K658" s="4" t="n">
        <f aca="false">偿债原表!C12</f>
        <v>0</v>
      </c>
      <c r="L658" s="4" t="n">
        <f aca="false">偿债原表!D12</f>
        <v>673.2</v>
      </c>
      <c r="M658" s="4" t="n">
        <f aca="false">K658+L658</f>
        <v>673.2</v>
      </c>
      <c r="N658" s="4" t="n">
        <f aca="false">J658-M658</f>
        <v>3513.0753174535</v>
      </c>
      <c r="O658" s="4" t="n">
        <f aca="false">O657+N658</f>
        <v>-7452.7450860965</v>
      </c>
      <c r="P658" s="4" t="n">
        <f aca="false">MAX(0,-(R657+N658))</f>
        <v>0</v>
      </c>
      <c r="Q658" s="4" t="n">
        <f aca="false">Q657+P658</f>
        <v>16744.6016312</v>
      </c>
      <c r="R658" s="4" t="n">
        <f aca="false">O658+Q658</f>
        <v>9291.8565451035</v>
      </c>
    </row>
    <row r="659" customFormat="false" ht="15" hidden="false" customHeight="false" outlineLevel="0" collapsed="false">
      <c r="A659" s="2" t="s">
        <v>57</v>
      </c>
      <c r="B659" s="2" t="s">
        <v>39</v>
      </c>
      <c r="C659" s="12" t="n">
        <v>11</v>
      </c>
      <c r="D659" s="12" t="n">
        <v>2034</v>
      </c>
      <c r="E659" s="4" t="n">
        <f aca="false">INDEX(驱动复算!A12:X12,1,情景参数!B19)</f>
        <v>14296.7508675</v>
      </c>
      <c r="F659" s="4" t="n">
        <f aca="false">E659*(1-情景参数!D19)</f>
        <v>13581.913324125</v>
      </c>
      <c r="G659" s="4" t="n">
        <f aca="false">IF(情景参数!E19="原表",驱动复算!U12-驱动复算!W12,驱动复算!P12)</f>
        <v>8782.2546409708</v>
      </c>
      <c r="H659" s="4" t="n">
        <f aca="false">IF(情景参数!E19="原表",驱动复算!W12,F659*情景参数!C19)</f>
        <v>271.6382664825</v>
      </c>
      <c r="I659" s="4" t="n">
        <f aca="false">IF(情景参数!E19="原表",驱动复算!U12,G659+H659)</f>
        <v>9053.8929074533</v>
      </c>
      <c r="J659" s="4" t="n">
        <f aca="false">(F659-I659)*(1-情景参数!F19)</f>
        <v>4528.02041667171</v>
      </c>
      <c r="K659" s="4" t="n">
        <f aca="false">偿债原表!C13</f>
        <v>0</v>
      </c>
      <c r="L659" s="4" t="n">
        <f aca="false">偿债原表!D13</f>
        <v>673.2</v>
      </c>
      <c r="M659" s="4" t="n">
        <f aca="false">K659+L659</f>
        <v>673.2</v>
      </c>
      <c r="N659" s="4" t="n">
        <f aca="false">J659-M659</f>
        <v>3854.82041667171</v>
      </c>
      <c r="O659" s="4" t="n">
        <f aca="false">O658+N659</f>
        <v>-3597.92466942479</v>
      </c>
      <c r="P659" s="4" t="n">
        <f aca="false">MAX(0,-(R658+N659))</f>
        <v>0</v>
      </c>
      <c r="Q659" s="4" t="n">
        <f aca="false">Q658+P659</f>
        <v>16744.6016312</v>
      </c>
      <c r="R659" s="4" t="n">
        <f aca="false">O659+Q659</f>
        <v>13146.6769617752</v>
      </c>
    </row>
    <row r="660" customFormat="false" ht="15" hidden="false" customHeight="false" outlineLevel="0" collapsed="false">
      <c r="A660" s="2" t="s">
        <v>57</v>
      </c>
      <c r="B660" s="2" t="s">
        <v>39</v>
      </c>
      <c r="C660" s="12" t="n">
        <v>12</v>
      </c>
      <c r="D660" s="12" t="n">
        <v>2035</v>
      </c>
      <c r="E660" s="4" t="n">
        <f aca="false">INDEX(驱动复算!A13:X13,1,情景参数!B19)</f>
        <v>14970.666946875</v>
      </c>
      <c r="F660" s="4" t="n">
        <f aca="false">E660*(1-情景参数!D19)</f>
        <v>14222.1335995313</v>
      </c>
      <c r="G660" s="4" t="n">
        <f aca="false">IF(情景参数!E19="原表",驱动复算!U13-驱动复算!W13,驱动复算!P13)</f>
        <v>9045.72228019992</v>
      </c>
      <c r="H660" s="4" t="n">
        <f aca="false">IF(情景参数!E19="原表",驱动复算!W13,F660*情景参数!C19)</f>
        <v>284.442671990625</v>
      </c>
      <c r="I660" s="4" t="n">
        <f aca="false">IF(情景参数!E19="原表",驱动复算!U13,G660+H660)</f>
        <v>9330.16495219055</v>
      </c>
      <c r="J660" s="4" t="n">
        <f aca="false">(F660-I660)*(1-情景参数!F19)</f>
        <v>4891.96864734071</v>
      </c>
      <c r="K660" s="4" t="n">
        <f aca="false">偿债原表!C14</f>
        <v>0</v>
      </c>
      <c r="L660" s="4" t="n">
        <f aca="false">偿债原表!D14</f>
        <v>673.2</v>
      </c>
      <c r="M660" s="4" t="n">
        <f aca="false">K660+L660</f>
        <v>673.2</v>
      </c>
      <c r="N660" s="4" t="n">
        <f aca="false">J660-M660</f>
        <v>4218.76864734071</v>
      </c>
      <c r="O660" s="4" t="n">
        <f aca="false">O659+N660</f>
        <v>620.843977915919</v>
      </c>
      <c r="P660" s="4" t="n">
        <f aca="false">MAX(0,-(R659+N660))</f>
        <v>0</v>
      </c>
      <c r="Q660" s="4" t="n">
        <f aca="false">Q659+P660</f>
        <v>16744.6016312</v>
      </c>
      <c r="R660" s="4" t="n">
        <f aca="false">O660+Q660</f>
        <v>17365.4456091159</v>
      </c>
    </row>
    <row r="661" customFormat="false" ht="15" hidden="false" customHeight="false" outlineLevel="0" collapsed="false">
      <c r="A661" s="2" t="s">
        <v>57</v>
      </c>
      <c r="B661" s="2" t="s">
        <v>39</v>
      </c>
      <c r="C661" s="12" t="n">
        <v>13</v>
      </c>
      <c r="D661" s="12" t="n">
        <v>2036</v>
      </c>
      <c r="E661" s="4" t="n">
        <f aca="false">INDEX(驱动复算!A14:X14,1,情景参数!B19)</f>
        <v>15678.2788302188</v>
      </c>
      <c r="F661" s="4" t="n">
        <f aca="false">E661*(1-情景参数!D19)</f>
        <v>14894.3648887078</v>
      </c>
      <c r="G661" s="4" t="n">
        <f aca="false">IF(情景参数!E19="原表",驱动复算!U14-驱动复算!W14,驱动复算!P14)</f>
        <v>9317.09394860592</v>
      </c>
      <c r="H661" s="4" t="n">
        <f aca="false">IF(情景参数!E19="原表",驱动复算!W14,F661*情景参数!C19)</f>
        <v>297.887297774156</v>
      </c>
      <c r="I661" s="4" t="n">
        <f aca="false">IF(情景参数!E19="原表",驱动复算!U14,G661+H661)</f>
        <v>9614.98124638007</v>
      </c>
      <c r="J661" s="4" t="n">
        <f aca="false">(F661-I661)*(1-情景参数!F19)</f>
        <v>5279.38364232775</v>
      </c>
      <c r="K661" s="4" t="n">
        <f aca="false">偿债原表!C15</f>
        <v>0</v>
      </c>
      <c r="L661" s="4" t="n">
        <f aca="false">偿债原表!D15</f>
        <v>673.2</v>
      </c>
      <c r="M661" s="4" t="n">
        <f aca="false">K661+L661</f>
        <v>673.2</v>
      </c>
      <c r="N661" s="4" t="n">
        <f aca="false">J661-M661</f>
        <v>4606.18364232775</v>
      </c>
      <c r="O661" s="4" t="n">
        <f aca="false">O660+N661</f>
        <v>5227.02762024367</v>
      </c>
      <c r="P661" s="4" t="n">
        <f aca="false">MAX(0,-(R660+N661))</f>
        <v>0</v>
      </c>
      <c r="Q661" s="4" t="n">
        <f aca="false">Q660+P661</f>
        <v>16744.6016312</v>
      </c>
      <c r="R661" s="4" t="n">
        <f aca="false">O661+Q661</f>
        <v>21971.6292514437</v>
      </c>
    </row>
    <row r="662" customFormat="false" ht="15" hidden="false" customHeight="false" outlineLevel="0" collapsed="false">
      <c r="A662" s="2" t="s">
        <v>57</v>
      </c>
      <c r="B662" s="2" t="s">
        <v>39</v>
      </c>
      <c r="C662" s="12" t="n">
        <v>14</v>
      </c>
      <c r="D662" s="12" t="n">
        <v>2037</v>
      </c>
      <c r="E662" s="4" t="n">
        <f aca="false">INDEX(驱动复算!A15:X15,1,情景参数!B19)</f>
        <v>16421.2713077297</v>
      </c>
      <c r="F662" s="4" t="n">
        <f aca="false">E662*(1-情景参数!D19)</f>
        <v>15600.2077423432</v>
      </c>
      <c r="G662" s="4" t="n">
        <f aca="false">IF(情景参数!E19="原表",驱动复算!U15-驱动复算!W15,驱动复算!P15)</f>
        <v>9596.6067670641</v>
      </c>
      <c r="H662" s="4" t="n">
        <f aca="false">IF(情景参数!E19="原表",驱动复算!W15,F662*情景参数!C19)</f>
        <v>312.004154846864</v>
      </c>
      <c r="I662" s="4" t="n">
        <f aca="false">IF(情景参数!E19="原表",驱动复算!U15,G662+H662)</f>
        <v>9908.61092191096</v>
      </c>
      <c r="J662" s="4" t="n">
        <f aca="false">(F662-I662)*(1-情景参数!F19)</f>
        <v>5691.59682043225</v>
      </c>
      <c r="K662" s="4" t="n">
        <f aca="false">偿债原表!C16</f>
        <v>1000</v>
      </c>
      <c r="L662" s="4" t="n">
        <f aca="false">偿债原表!D16</f>
        <v>673.2</v>
      </c>
      <c r="M662" s="4" t="n">
        <f aca="false">K662+L662</f>
        <v>1673.2</v>
      </c>
      <c r="N662" s="4" t="n">
        <f aca="false">J662-M662</f>
        <v>4018.39682043225</v>
      </c>
      <c r="O662" s="4" t="n">
        <f aca="false">O661+N662</f>
        <v>9245.42444067592</v>
      </c>
      <c r="P662" s="4" t="n">
        <f aca="false">MAX(0,-(R661+N662))</f>
        <v>0</v>
      </c>
      <c r="Q662" s="4" t="n">
        <f aca="false">Q661+P662</f>
        <v>16744.6016312</v>
      </c>
      <c r="R662" s="4" t="n">
        <f aca="false">O662+Q662</f>
        <v>25990.0260718759</v>
      </c>
    </row>
    <row r="663" customFormat="false" ht="15" hidden="false" customHeight="false" outlineLevel="0" collapsed="false">
      <c r="A663" s="2" t="s">
        <v>57</v>
      </c>
      <c r="B663" s="2" t="s">
        <v>39</v>
      </c>
      <c r="C663" s="12" t="n">
        <v>15</v>
      </c>
      <c r="D663" s="12" t="n">
        <v>2038</v>
      </c>
      <c r="E663" s="4" t="n">
        <f aca="false">INDEX(驱动复算!A16:X16,1,情景参数!B19)</f>
        <v>16756.9170762843</v>
      </c>
      <c r="F663" s="4" t="n">
        <f aca="false">E663*(1-情景参数!D19)</f>
        <v>15919.0712224701</v>
      </c>
      <c r="G663" s="4" t="n">
        <f aca="false">IF(情景参数!E19="原表",驱动复算!U16-驱动复算!W16,驱动复算!P16)</f>
        <v>9884.50497007602</v>
      </c>
      <c r="H663" s="4" t="n">
        <f aca="false">IF(情景参数!E19="原表",驱动复算!W16,F663*情景参数!C19)</f>
        <v>318.381424449402</v>
      </c>
      <c r="I663" s="4" t="n">
        <f aca="false">IF(情景参数!E19="原表",驱动复算!U16,G663+H663)</f>
        <v>10202.8863945254</v>
      </c>
      <c r="J663" s="4" t="n">
        <f aca="false">(F663-I663)*(1-情景参数!F19)</f>
        <v>5716.18482794466</v>
      </c>
      <c r="K663" s="4" t="n">
        <f aca="false">偿债原表!C17</f>
        <v>0</v>
      </c>
      <c r="L663" s="4" t="n">
        <f aca="false">偿债原表!D17</f>
        <v>644</v>
      </c>
      <c r="M663" s="4" t="n">
        <f aca="false">K663+L663</f>
        <v>644</v>
      </c>
      <c r="N663" s="4" t="n">
        <f aca="false">J663-M663</f>
        <v>5072.18482794466</v>
      </c>
      <c r="O663" s="4" t="n">
        <f aca="false">O662+N663</f>
        <v>14317.6092686206</v>
      </c>
      <c r="P663" s="4" t="n">
        <f aca="false">MAX(0,-(R662+N663))</f>
        <v>0</v>
      </c>
      <c r="Q663" s="4" t="n">
        <f aca="false">Q662+P663</f>
        <v>16744.6016312</v>
      </c>
      <c r="R663" s="4" t="n">
        <f aca="false">O663+Q663</f>
        <v>31062.2108998206</v>
      </c>
    </row>
    <row r="664" customFormat="false" ht="15" hidden="false" customHeight="false" outlineLevel="0" collapsed="false">
      <c r="A664" s="2" t="s">
        <v>57</v>
      </c>
      <c r="B664" s="2" t="s">
        <v>39</v>
      </c>
      <c r="C664" s="12" t="n">
        <v>16</v>
      </c>
      <c r="D664" s="12" t="n">
        <v>2039</v>
      </c>
      <c r="E664" s="4" t="n">
        <f aca="false">INDEX(驱动复算!A17:X17,1,情景参数!B19)</f>
        <v>17075.21505365</v>
      </c>
      <c r="F664" s="4" t="n">
        <f aca="false">E664*(1-情景参数!D19)</f>
        <v>16221.4543009675</v>
      </c>
      <c r="G664" s="4" t="n">
        <f aca="false">IF(情景参数!E19="原表",驱动复算!U17-驱动复算!W17,驱动复算!P17)</f>
        <v>10181.0401191783</v>
      </c>
      <c r="H664" s="4" t="n">
        <f aca="false">IF(情景参数!E19="原表",驱动复算!W17,F664*情景参数!C19)</f>
        <v>324.42908601935</v>
      </c>
      <c r="I664" s="4" t="n">
        <f aca="false">IF(情景参数!E19="原表",驱动复算!U17,G664+H664)</f>
        <v>10505.4692051976</v>
      </c>
      <c r="J664" s="4" t="n">
        <f aca="false">(F664-I664)*(1-情景参数!F19)</f>
        <v>5715.98509576983</v>
      </c>
      <c r="K664" s="4" t="n">
        <f aca="false">偿债原表!C18</f>
        <v>0</v>
      </c>
      <c r="L664" s="4" t="n">
        <f aca="false">偿债原表!D18</f>
        <v>644</v>
      </c>
      <c r="M664" s="4" t="n">
        <f aca="false">K664+L664</f>
        <v>644</v>
      </c>
      <c r="N664" s="4" t="n">
        <f aca="false">J664-M664</f>
        <v>5071.98509576983</v>
      </c>
      <c r="O664" s="4" t="n">
        <f aca="false">O663+N664</f>
        <v>19389.5943643904</v>
      </c>
      <c r="P664" s="4" t="n">
        <f aca="false">MAX(0,-(R663+N664))</f>
        <v>0</v>
      </c>
      <c r="Q664" s="4" t="n">
        <f aca="false">Q663+P664</f>
        <v>16744.6016312</v>
      </c>
      <c r="R664" s="4" t="n">
        <f aca="false">O664+Q664</f>
        <v>36134.1959955904</v>
      </c>
    </row>
    <row r="665" customFormat="false" ht="15" hidden="false" customHeight="false" outlineLevel="0" collapsed="false">
      <c r="A665" s="2" t="s">
        <v>57</v>
      </c>
      <c r="B665" s="2" t="s">
        <v>39</v>
      </c>
      <c r="C665" s="12" t="n">
        <v>17</v>
      </c>
      <c r="D665" s="12" t="n">
        <v>2040</v>
      </c>
      <c r="E665" s="4" t="n">
        <f aca="false">INDEX(驱动复算!A18:X18,1,情景参数!B19)</f>
        <v>17399.878990563</v>
      </c>
      <c r="F665" s="4" t="n">
        <f aca="false">E665*(1-情景参数!D19)</f>
        <v>16529.8850410348</v>
      </c>
      <c r="G665" s="4" t="n">
        <f aca="false">IF(情景参数!E19="原表",驱动复算!U18-驱动复算!W18,驱动复算!P18)</f>
        <v>10486.4713227536</v>
      </c>
      <c r="H665" s="4" t="n">
        <f aca="false">IF(情景参数!E19="原表",驱动复算!W18,F665*情景参数!C19)</f>
        <v>330.597700820697</v>
      </c>
      <c r="I665" s="4" t="n">
        <f aca="false">IF(情景参数!E19="原表",驱动复算!U18,G665+H665)</f>
        <v>10817.0690235743</v>
      </c>
      <c r="J665" s="4" t="n">
        <f aca="false">(F665-I665)*(1-情景参数!F19)</f>
        <v>5712.81601746049</v>
      </c>
      <c r="K665" s="4" t="n">
        <f aca="false">偿债原表!C19</f>
        <v>0</v>
      </c>
      <c r="L665" s="4" t="n">
        <f aca="false">偿债原表!D19</f>
        <v>644</v>
      </c>
      <c r="M665" s="4" t="n">
        <f aca="false">K665+L665</f>
        <v>644</v>
      </c>
      <c r="N665" s="4" t="n">
        <f aca="false">J665-M665</f>
        <v>5068.81601746049</v>
      </c>
      <c r="O665" s="4" t="n">
        <f aca="false">O664+N665</f>
        <v>24458.4103818509</v>
      </c>
      <c r="P665" s="4" t="n">
        <f aca="false">MAX(0,-(R664+N665))</f>
        <v>0</v>
      </c>
      <c r="Q665" s="4" t="n">
        <f aca="false">Q664+P665</f>
        <v>16744.6016312</v>
      </c>
      <c r="R665" s="4" t="n">
        <f aca="false">O665+Q665</f>
        <v>41203.0120130509</v>
      </c>
    </row>
    <row r="666" customFormat="false" ht="15" hidden="false" customHeight="false" outlineLevel="0" collapsed="false">
      <c r="A666" s="2" t="s">
        <v>57</v>
      </c>
      <c r="B666" s="2" t="s">
        <v>39</v>
      </c>
      <c r="C666" s="12" t="n">
        <v>18</v>
      </c>
      <c r="D666" s="12" t="n">
        <v>2041</v>
      </c>
      <c r="E666" s="4" t="n">
        <f aca="false">INDEX(驱动复算!A19:X19,1,情景参数!B19)</f>
        <v>17731.0362062142</v>
      </c>
      <c r="F666" s="4" t="n">
        <f aca="false">E666*(1-情景参数!D19)</f>
        <v>16844.4843959035</v>
      </c>
      <c r="G666" s="4" t="n">
        <f aca="false">IF(情景参数!E19="原表",驱动复算!U19-驱动复算!W19,驱动复算!P19)</f>
        <v>10801.0654624363</v>
      </c>
      <c r="H666" s="4" t="n">
        <f aca="false">IF(情景参数!E19="原表",驱动复算!W19,F666*情景参数!C19)</f>
        <v>336.889687918071</v>
      </c>
      <c r="I666" s="4" t="n">
        <f aca="false">IF(情景参数!E19="原表",驱动复算!U19,G666+H666)</f>
        <v>11137.9551503543</v>
      </c>
      <c r="J666" s="4" t="n">
        <f aca="false">(F666-I666)*(1-情景参数!F19)</f>
        <v>5706.52924554919</v>
      </c>
      <c r="K666" s="4" t="n">
        <f aca="false">偿债原表!C20</f>
        <v>20000</v>
      </c>
      <c r="L666" s="4" t="n">
        <f aca="false">偿债原表!D20</f>
        <v>644</v>
      </c>
      <c r="M666" s="4" t="n">
        <f aca="false">K666+L666</f>
        <v>20644</v>
      </c>
      <c r="N666" s="4" t="n">
        <f aca="false">J666-M666</f>
        <v>-14937.4707544508</v>
      </c>
      <c r="O666" s="4" t="n">
        <f aca="false">O665+N666</f>
        <v>9520.93962740008</v>
      </c>
      <c r="P666" s="4" t="n">
        <f aca="false">MAX(0,-(R665+N666))</f>
        <v>0</v>
      </c>
      <c r="Q666" s="4" t="n">
        <f aca="false">Q665+P666</f>
        <v>16744.6016312</v>
      </c>
      <c r="R666" s="4" t="n">
        <f aca="false">O666+Q666</f>
        <v>26265.5412586001</v>
      </c>
    </row>
    <row r="667" customFormat="false" ht="15" hidden="false" customHeight="false" outlineLevel="0" collapsed="false">
      <c r="A667" s="2" t="s">
        <v>57</v>
      </c>
      <c r="B667" s="2" t="s">
        <v>40</v>
      </c>
      <c r="C667" s="12" t="n">
        <v>0</v>
      </c>
      <c r="D667" s="13" t="s">
        <v>248</v>
      </c>
      <c r="E667" s="4" t="n">
        <f aca="false">0</f>
        <v>0</v>
      </c>
      <c r="F667" s="4" t="n">
        <f aca="false">E667*(1-情景参数!D19)</f>
        <v>0</v>
      </c>
      <c r="G667" s="4" t="n">
        <f aca="false">0</f>
        <v>0</v>
      </c>
      <c r="H667" s="4" t="n">
        <f aca="false">0</f>
        <v>0</v>
      </c>
      <c r="I667" s="4" t="n">
        <f aca="false">0</f>
        <v>0</v>
      </c>
      <c r="J667" s="4" t="n">
        <f aca="false">(F667-I667)*(1-情景参数!F19)</f>
        <v>0</v>
      </c>
      <c r="K667" s="4" t="n">
        <f aca="false">偿债原表!F2</f>
        <v>0</v>
      </c>
      <c r="L667" s="4" t="n">
        <f aca="false">偿债原表!G2</f>
        <v>1374.2</v>
      </c>
      <c r="M667" s="4" t="n">
        <f aca="false">K667+L667</f>
        <v>1374.2</v>
      </c>
      <c r="N667" s="4" t="n">
        <f aca="false">J667-M667</f>
        <v>-1374.2</v>
      </c>
      <c r="O667" s="4" t="n">
        <f aca="false">N667</f>
        <v>-1374.2</v>
      </c>
      <c r="P667" s="4" t="n">
        <f aca="false">MAX(0,-N667)</f>
        <v>1374.2</v>
      </c>
      <c r="Q667" s="4" t="n">
        <f aca="false">P667</f>
        <v>1374.2</v>
      </c>
      <c r="R667" s="4" t="n">
        <f aca="false">O667+Q667</f>
        <v>0</v>
      </c>
    </row>
    <row r="668" customFormat="false" ht="15" hidden="false" customHeight="false" outlineLevel="0" collapsed="false">
      <c r="A668" s="2" t="s">
        <v>57</v>
      </c>
      <c r="B668" s="2" t="s">
        <v>40</v>
      </c>
      <c r="C668" s="12" t="n">
        <v>1</v>
      </c>
      <c r="D668" s="12" t="n">
        <v>2024</v>
      </c>
      <c r="E668" s="4" t="n">
        <f aca="false">INDEX(驱动复算!A2:X2,1,情景参数!B19)</f>
        <v>0</v>
      </c>
      <c r="F668" s="4" t="n">
        <f aca="false">E668*(1-情景参数!D19)</f>
        <v>0</v>
      </c>
      <c r="G668" s="4" t="n">
        <f aca="false">IF(情景参数!E19="原表",驱动复算!U2-驱动复算!W2,驱动复算!P2)</f>
        <v>0</v>
      </c>
      <c r="H668" s="4" t="n">
        <f aca="false">IF(情景参数!E19="原表",驱动复算!W2,F668*情景参数!C19)</f>
        <v>0</v>
      </c>
      <c r="I668" s="4" t="n">
        <f aca="false">IF(情景参数!E19="原表",驱动复算!U2,G668+H668)</f>
        <v>0</v>
      </c>
      <c r="J668" s="4" t="n">
        <f aca="false">(F668-I668)*(1-情景参数!F19)</f>
        <v>0</v>
      </c>
      <c r="K668" s="4" t="n">
        <f aca="false">偿债原表!F3</f>
        <v>0</v>
      </c>
      <c r="L668" s="4" t="n">
        <f aca="false">偿债原表!G3</f>
        <v>1107.58</v>
      </c>
      <c r="M668" s="4" t="n">
        <f aca="false">K668+L668</f>
        <v>1107.58</v>
      </c>
      <c r="N668" s="4" t="n">
        <f aca="false">J668-M668</f>
        <v>-1107.58</v>
      </c>
      <c r="O668" s="4" t="n">
        <f aca="false">O667+N668</f>
        <v>-2481.78</v>
      </c>
      <c r="P668" s="4" t="n">
        <f aca="false">MAX(0,-(R667+N668))</f>
        <v>1107.58</v>
      </c>
      <c r="Q668" s="4" t="n">
        <f aca="false">Q667+P668</f>
        <v>2481.78</v>
      </c>
      <c r="R668" s="4" t="n">
        <f aca="false">O668+Q668</f>
        <v>0</v>
      </c>
    </row>
    <row r="669" customFormat="false" ht="15" hidden="false" customHeight="false" outlineLevel="0" collapsed="false">
      <c r="A669" s="2" t="s">
        <v>57</v>
      </c>
      <c r="B669" s="2" t="s">
        <v>40</v>
      </c>
      <c r="C669" s="12" t="n">
        <v>2</v>
      </c>
      <c r="D669" s="12" t="n">
        <v>2025</v>
      </c>
      <c r="E669" s="4" t="n">
        <f aca="false">INDEX(驱动复算!A3:X3,1,情景参数!B19)</f>
        <v>0</v>
      </c>
      <c r="F669" s="4" t="n">
        <f aca="false">E669*(1-情景参数!D19)</f>
        <v>0</v>
      </c>
      <c r="G669" s="4" t="n">
        <f aca="false">IF(情景参数!E19="原表",驱动复算!U3-驱动复算!W3,驱动复算!P3)</f>
        <v>0</v>
      </c>
      <c r="H669" s="4" t="n">
        <f aca="false">IF(情景参数!E19="原表",驱动复算!W3,F669*情景参数!C19)</f>
        <v>0</v>
      </c>
      <c r="I669" s="4" t="n">
        <f aca="false">IF(情景参数!E19="原表",驱动复算!U3,G669+H669)</f>
        <v>0</v>
      </c>
      <c r="J669" s="4" t="n">
        <f aca="false">(F669-I669)*(1-情景参数!F19)</f>
        <v>0</v>
      </c>
      <c r="K669" s="4" t="n">
        <f aca="false">偿债原表!F4</f>
        <v>0</v>
      </c>
      <c r="L669" s="4" t="n">
        <f aca="false">偿债原表!G4</f>
        <v>1107.58</v>
      </c>
      <c r="M669" s="4" t="n">
        <f aca="false">K669+L669</f>
        <v>1107.58</v>
      </c>
      <c r="N669" s="4" t="n">
        <f aca="false">J669-M669</f>
        <v>-1107.58</v>
      </c>
      <c r="O669" s="4" t="n">
        <f aca="false">O668+N669</f>
        <v>-3589.36</v>
      </c>
      <c r="P669" s="4" t="n">
        <f aca="false">MAX(0,-(R668+N669))</f>
        <v>1107.58</v>
      </c>
      <c r="Q669" s="4" t="n">
        <f aca="false">Q668+P669</f>
        <v>3589.36</v>
      </c>
      <c r="R669" s="4" t="n">
        <f aca="false">O669+Q669</f>
        <v>0</v>
      </c>
    </row>
    <row r="670" customFormat="false" ht="15" hidden="false" customHeight="false" outlineLevel="0" collapsed="false">
      <c r="A670" s="2" t="s">
        <v>57</v>
      </c>
      <c r="B670" s="2" t="s">
        <v>40</v>
      </c>
      <c r="C670" s="12" t="n">
        <v>3</v>
      </c>
      <c r="D670" s="12" t="n">
        <v>2026</v>
      </c>
      <c r="E670" s="4" t="n">
        <f aca="false">INDEX(驱动复算!A4:X4,1,情景参数!B19)</f>
        <v>0</v>
      </c>
      <c r="F670" s="4" t="n">
        <f aca="false">E670*(1-情景参数!D19)</f>
        <v>0</v>
      </c>
      <c r="G670" s="4" t="n">
        <f aca="false">IF(情景参数!E19="原表",驱动复算!U4-驱动复算!W4,驱动复算!P4)</f>
        <v>0</v>
      </c>
      <c r="H670" s="4" t="n">
        <f aca="false">IF(情景参数!E19="原表",驱动复算!W4,F670*情景参数!C19)</f>
        <v>0</v>
      </c>
      <c r="I670" s="4" t="n">
        <f aca="false">IF(情景参数!E19="原表",驱动复算!U4,G670+H670)</f>
        <v>0</v>
      </c>
      <c r="J670" s="4" t="n">
        <f aca="false">(F670-I670)*(1-情景参数!F19)</f>
        <v>0</v>
      </c>
      <c r="K670" s="4" t="n">
        <f aca="false">偿债原表!F5</f>
        <v>0</v>
      </c>
      <c r="L670" s="4" t="n">
        <f aca="false">偿债原表!G5</f>
        <v>1107.58</v>
      </c>
      <c r="M670" s="4" t="n">
        <f aca="false">K670+L670</f>
        <v>1107.58</v>
      </c>
      <c r="N670" s="4" t="n">
        <f aca="false">J670-M670</f>
        <v>-1107.58</v>
      </c>
      <c r="O670" s="4" t="n">
        <f aca="false">O669+N670</f>
        <v>-4696.94</v>
      </c>
      <c r="P670" s="4" t="n">
        <f aca="false">MAX(0,-(R669+N670))</f>
        <v>1107.58</v>
      </c>
      <c r="Q670" s="4" t="n">
        <f aca="false">Q669+P670</f>
        <v>4696.94</v>
      </c>
      <c r="R670" s="4" t="n">
        <f aca="false">O670+Q670</f>
        <v>0</v>
      </c>
    </row>
    <row r="671" customFormat="false" ht="15" hidden="false" customHeight="false" outlineLevel="0" collapsed="false">
      <c r="A671" s="2" t="s">
        <v>57</v>
      </c>
      <c r="B671" s="2" t="s">
        <v>40</v>
      </c>
      <c r="C671" s="12" t="n">
        <v>4</v>
      </c>
      <c r="D671" s="12" t="n">
        <v>2027</v>
      </c>
      <c r="E671" s="4" t="n">
        <f aca="false">INDEX(驱动复算!A5:X5,1,情景参数!B19)</f>
        <v>0</v>
      </c>
      <c r="F671" s="4" t="n">
        <f aca="false">E671*(1-情景参数!D19)</f>
        <v>0</v>
      </c>
      <c r="G671" s="4" t="n">
        <f aca="false">IF(情景参数!E19="原表",驱动复算!U5-驱动复算!W5,驱动复算!P5)</f>
        <v>0</v>
      </c>
      <c r="H671" s="4" t="n">
        <f aca="false">IF(情景参数!E19="原表",驱动复算!W5,F671*情景参数!C19)</f>
        <v>0</v>
      </c>
      <c r="I671" s="4" t="n">
        <f aca="false">IF(情景参数!E19="原表",驱动复算!U5,G671+H671)</f>
        <v>0</v>
      </c>
      <c r="J671" s="4" t="n">
        <f aca="false">(F671-I671)*(1-情景参数!F19)</f>
        <v>0</v>
      </c>
      <c r="K671" s="4" t="n">
        <f aca="false">偿债原表!F6</f>
        <v>0</v>
      </c>
      <c r="L671" s="4" t="n">
        <f aca="false">偿债原表!G6</f>
        <v>1107.58</v>
      </c>
      <c r="M671" s="4" t="n">
        <f aca="false">K671+L671</f>
        <v>1107.58</v>
      </c>
      <c r="N671" s="4" t="n">
        <f aca="false">J671-M671</f>
        <v>-1107.58</v>
      </c>
      <c r="O671" s="4" t="n">
        <f aca="false">O670+N671</f>
        <v>-5804.52</v>
      </c>
      <c r="P671" s="4" t="n">
        <f aca="false">MAX(0,-(R670+N671))</f>
        <v>1107.58</v>
      </c>
      <c r="Q671" s="4" t="n">
        <f aca="false">Q670+P671</f>
        <v>5804.52</v>
      </c>
      <c r="R671" s="4" t="n">
        <f aca="false">O671+Q671</f>
        <v>0</v>
      </c>
    </row>
    <row r="672" customFormat="false" ht="15" hidden="false" customHeight="false" outlineLevel="0" collapsed="false">
      <c r="A672" s="2" t="s">
        <v>57</v>
      </c>
      <c r="B672" s="2" t="s">
        <v>40</v>
      </c>
      <c r="C672" s="12" t="n">
        <v>5</v>
      </c>
      <c r="D672" s="12" t="n">
        <v>2028</v>
      </c>
      <c r="E672" s="4" t="n">
        <f aca="false">INDEX(驱动复算!A6:X6,1,情景参数!B19)</f>
        <v>9076.9048</v>
      </c>
      <c r="F672" s="4" t="n">
        <f aca="false">E672*(1-情景参数!D19)</f>
        <v>8623.05956</v>
      </c>
      <c r="G672" s="4" t="n">
        <f aca="false">IF(情景参数!E19="原表",驱动复算!U6-驱动复算!W6,驱动复算!P6)</f>
        <v>7355</v>
      </c>
      <c r="H672" s="4" t="n">
        <f aca="false">IF(情景参数!E19="原表",驱动复算!W6,F672*情景参数!C19)</f>
        <v>172.4611912</v>
      </c>
      <c r="I672" s="4" t="n">
        <f aca="false">IF(情景参数!E19="原表",驱动复算!U6,G672+H672)</f>
        <v>7527.4611912</v>
      </c>
      <c r="J672" s="4" t="n">
        <f aca="false">(F672-I672)*(1-情景参数!F19)</f>
        <v>1095.5983688</v>
      </c>
      <c r="K672" s="4" t="n">
        <f aca="false">偿债原表!F7</f>
        <v>1400</v>
      </c>
      <c r="L672" s="4" t="n">
        <f aca="false">偿债原表!G7</f>
        <v>1107.58</v>
      </c>
      <c r="M672" s="4" t="n">
        <f aca="false">K672+L672</f>
        <v>2507.58</v>
      </c>
      <c r="N672" s="4" t="n">
        <f aca="false">J672-M672</f>
        <v>-1411.9816312</v>
      </c>
      <c r="O672" s="4" t="n">
        <f aca="false">O671+N672</f>
        <v>-7216.5016312</v>
      </c>
      <c r="P672" s="4" t="n">
        <f aca="false">MAX(0,-(R671+N672))</f>
        <v>1411.9816312</v>
      </c>
      <c r="Q672" s="4" t="n">
        <f aca="false">Q671+P672</f>
        <v>7216.5016312</v>
      </c>
      <c r="R672" s="4" t="n">
        <f aca="false">O672+Q672</f>
        <v>0</v>
      </c>
    </row>
    <row r="673" customFormat="false" ht="15" hidden="false" customHeight="false" outlineLevel="0" collapsed="false">
      <c r="A673" s="2" t="s">
        <v>57</v>
      </c>
      <c r="B673" s="2" t="s">
        <v>40</v>
      </c>
      <c r="C673" s="12" t="n">
        <v>6</v>
      </c>
      <c r="D673" s="12" t="n">
        <v>2029</v>
      </c>
      <c r="E673" s="4" t="n">
        <f aca="false">INDEX(驱动复算!A7:X7,1,情景参数!B19)</f>
        <v>9911.9048</v>
      </c>
      <c r="F673" s="4" t="n">
        <f aca="false">E673*(1-情景参数!D19)</f>
        <v>9416.30956</v>
      </c>
      <c r="G673" s="4" t="n">
        <f aca="false">IF(情景参数!E19="原表",驱动复算!U7-驱动复算!W7,驱动复算!P7)</f>
        <v>7575.65</v>
      </c>
      <c r="H673" s="4" t="n">
        <f aca="false">IF(情景参数!E19="原表",驱动复算!W7,F673*情景参数!C19)</f>
        <v>188.3261912</v>
      </c>
      <c r="I673" s="4" t="n">
        <f aca="false">IF(情景参数!E19="原表",驱动复算!U7,G673+H673)</f>
        <v>7763.9761912</v>
      </c>
      <c r="J673" s="4" t="n">
        <f aca="false">(F673-I673)*(1-情景参数!F19)</f>
        <v>1652.3333688</v>
      </c>
      <c r="K673" s="4" t="n">
        <f aca="false">偿债原表!F8</f>
        <v>0</v>
      </c>
      <c r="L673" s="4" t="n">
        <f aca="false">偿债原表!G8</f>
        <v>1075.8</v>
      </c>
      <c r="M673" s="4" t="n">
        <f aca="false">K673+L673</f>
        <v>1075.8</v>
      </c>
      <c r="N673" s="4" t="n">
        <f aca="false">J673-M673</f>
        <v>576.533368799998</v>
      </c>
      <c r="O673" s="4" t="n">
        <f aca="false">O672+N673</f>
        <v>-6639.9682624</v>
      </c>
      <c r="P673" s="4" t="n">
        <f aca="false">MAX(0,-(R672+N673))</f>
        <v>0</v>
      </c>
      <c r="Q673" s="4" t="n">
        <f aca="false">Q672+P673</f>
        <v>7216.5016312</v>
      </c>
      <c r="R673" s="4" t="n">
        <f aca="false">O673+Q673</f>
        <v>576.533368799997</v>
      </c>
    </row>
    <row r="674" customFormat="false" ht="15" hidden="false" customHeight="false" outlineLevel="0" collapsed="false">
      <c r="A674" s="2" t="s">
        <v>57</v>
      </c>
      <c r="B674" s="2" t="s">
        <v>40</v>
      </c>
      <c r="C674" s="12" t="n">
        <v>7</v>
      </c>
      <c r="D674" s="12" t="n">
        <v>2030</v>
      </c>
      <c r="E674" s="4" t="n">
        <f aca="false">INDEX(驱动复算!A8:X8,1,情景参数!B19)</f>
        <v>10830.4048</v>
      </c>
      <c r="F674" s="4" t="n">
        <f aca="false">E674*(1-情景参数!D19)</f>
        <v>10288.88456</v>
      </c>
      <c r="G674" s="4" t="n">
        <f aca="false">IF(情景参数!E19="原表",驱动复算!U8-驱动复算!W8,驱动复算!P8)</f>
        <v>7802.9195</v>
      </c>
      <c r="H674" s="4" t="n">
        <f aca="false">IF(情景参数!E19="原表",驱动复算!W8,F674*情景参数!C19)</f>
        <v>205.7776912</v>
      </c>
      <c r="I674" s="4" t="n">
        <f aca="false">IF(情景参数!E19="原表",驱动复算!U8,G674+H674)</f>
        <v>8008.6971912</v>
      </c>
      <c r="J674" s="4" t="n">
        <f aca="false">(F674-I674)*(1-情景参数!F19)</f>
        <v>2280.1873688</v>
      </c>
      <c r="K674" s="4" t="n">
        <f aca="false">偿债原表!F9</f>
        <v>0</v>
      </c>
      <c r="L674" s="4" t="n">
        <f aca="false">偿债原表!G9</f>
        <v>1075.8</v>
      </c>
      <c r="M674" s="4" t="n">
        <f aca="false">K674+L674</f>
        <v>1075.8</v>
      </c>
      <c r="N674" s="4" t="n">
        <f aca="false">J674-M674</f>
        <v>1204.3873688</v>
      </c>
      <c r="O674" s="4" t="n">
        <f aca="false">O673+N674</f>
        <v>-5435.5808936</v>
      </c>
      <c r="P674" s="4" t="n">
        <f aca="false">MAX(0,-(R673+N674))</f>
        <v>0</v>
      </c>
      <c r="Q674" s="4" t="n">
        <f aca="false">Q673+P674</f>
        <v>7216.5016312</v>
      </c>
      <c r="R674" s="4" t="n">
        <f aca="false">O674+Q674</f>
        <v>1780.9207376</v>
      </c>
    </row>
    <row r="675" customFormat="false" ht="15" hidden="false" customHeight="false" outlineLevel="0" collapsed="false">
      <c r="A675" s="2" t="s">
        <v>57</v>
      </c>
      <c r="B675" s="2" t="s">
        <v>40</v>
      </c>
      <c r="C675" s="12" t="n">
        <v>8</v>
      </c>
      <c r="D675" s="12" t="n">
        <v>2031</v>
      </c>
      <c r="E675" s="4" t="n">
        <f aca="false">INDEX(驱动复算!A9:X9,1,情景参数!B19)</f>
        <v>11840.7548</v>
      </c>
      <c r="F675" s="4" t="n">
        <f aca="false">E675*(1-情景参数!D19)</f>
        <v>11248.71706</v>
      </c>
      <c r="G675" s="4" t="n">
        <f aca="false">IF(情景参数!E19="原表",驱动复算!U9-驱动复算!W9,驱动复算!P9)</f>
        <v>8037.007085</v>
      </c>
      <c r="H675" s="4" t="n">
        <f aca="false">IF(情景参数!E19="原表",驱动复算!W9,F675*情景参数!C19)</f>
        <v>224.9743412</v>
      </c>
      <c r="I675" s="4" t="n">
        <f aca="false">IF(情景参数!E19="原表",驱动复算!U9,G675+H675)</f>
        <v>8261.9814262</v>
      </c>
      <c r="J675" s="4" t="n">
        <f aca="false">(F675-I675)*(1-情景参数!F19)</f>
        <v>2986.7356338</v>
      </c>
      <c r="K675" s="4" t="n">
        <f aca="false">偿债原表!F10</f>
        <v>0</v>
      </c>
      <c r="L675" s="4" t="n">
        <f aca="false">偿债原表!G10</f>
        <v>1075.8</v>
      </c>
      <c r="M675" s="4" t="n">
        <f aca="false">K675+L675</f>
        <v>1075.8</v>
      </c>
      <c r="N675" s="4" t="n">
        <f aca="false">J675-M675</f>
        <v>1910.9356338</v>
      </c>
      <c r="O675" s="4" t="n">
        <f aca="false">O674+N675</f>
        <v>-3524.6452598</v>
      </c>
      <c r="P675" s="4" t="n">
        <f aca="false">MAX(0,-(R674+N675))</f>
        <v>0</v>
      </c>
      <c r="Q675" s="4" t="n">
        <f aca="false">Q674+P675</f>
        <v>7216.5016312</v>
      </c>
      <c r="R675" s="4" t="n">
        <f aca="false">O675+Q675</f>
        <v>3691.8563714</v>
      </c>
    </row>
    <row r="676" customFormat="false" ht="15" hidden="false" customHeight="false" outlineLevel="0" collapsed="false">
      <c r="A676" s="2" t="s">
        <v>57</v>
      </c>
      <c r="B676" s="2" t="s">
        <v>40</v>
      </c>
      <c r="C676" s="12" t="n">
        <v>9</v>
      </c>
      <c r="D676" s="12" t="n">
        <v>2032</v>
      </c>
      <c r="E676" s="4" t="n">
        <f aca="false">INDEX(驱动复算!A10:X10,1,情景参数!B19)</f>
        <v>12952.1398</v>
      </c>
      <c r="F676" s="4" t="n">
        <f aca="false">E676*(1-情景参数!D19)</f>
        <v>12304.53281</v>
      </c>
      <c r="G676" s="4" t="n">
        <f aca="false">IF(情景参数!E19="原表",驱动复算!U10-驱动复算!W10,驱动复算!P10)</f>
        <v>8278.11729755</v>
      </c>
      <c r="H676" s="4" t="n">
        <f aca="false">IF(情景参数!E19="原表",驱动复算!W10,F676*情景参数!C19)</f>
        <v>246.0906562</v>
      </c>
      <c r="I676" s="4" t="n">
        <f aca="false">IF(情景参数!E19="原表",驱动复算!U10,G676+H676)</f>
        <v>8524.20795375</v>
      </c>
      <c r="J676" s="4" t="n">
        <f aca="false">(F676-I676)*(1-情景参数!F19)</f>
        <v>3780.32485625</v>
      </c>
      <c r="K676" s="4" t="n">
        <f aca="false">偿债原表!F11</f>
        <v>2000</v>
      </c>
      <c r="L676" s="4" t="n">
        <f aca="false">偿债原表!G11</f>
        <v>1075.8</v>
      </c>
      <c r="M676" s="4" t="n">
        <f aca="false">K676+L676</f>
        <v>3075.8</v>
      </c>
      <c r="N676" s="4" t="n">
        <f aca="false">J676-M676</f>
        <v>704.524856250001</v>
      </c>
      <c r="O676" s="4" t="n">
        <f aca="false">O675+N676</f>
        <v>-2820.12040355</v>
      </c>
      <c r="P676" s="4" t="n">
        <f aca="false">MAX(0,-(R675+N676))</f>
        <v>0</v>
      </c>
      <c r="Q676" s="4" t="n">
        <f aca="false">Q675+P676</f>
        <v>7216.5016312</v>
      </c>
      <c r="R676" s="4" t="n">
        <f aca="false">O676+Q676</f>
        <v>4396.38122765</v>
      </c>
    </row>
    <row r="677" customFormat="false" ht="15" hidden="false" customHeight="false" outlineLevel="0" collapsed="false">
      <c r="A677" s="2" t="s">
        <v>57</v>
      </c>
      <c r="B677" s="2" t="s">
        <v>40</v>
      </c>
      <c r="C677" s="12" t="n">
        <v>10</v>
      </c>
      <c r="D677" s="12" t="n">
        <v>2033</v>
      </c>
      <c r="E677" s="4" t="n">
        <f aca="false">INDEX(驱动复算!A11:X11,1,情景参数!B19)</f>
        <v>13654.92603</v>
      </c>
      <c r="F677" s="4" t="n">
        <f aca="false">E677*(1-情景参数!D19)</f>
        <v>12972.1797285</v>
      </c>
      <c r="G677" s="4" t="n">
        <f aca="false">IF(情景参数!E19="原表",驱动复算!U11-驱动复算!W11,驱动复算!P11)</f>
        <v>8526.4608164765</v>
      </c>
      <c r="H677" s="4" t="n">
        <f aca="false">IF(情景参数!E19="原表",驱动复算!W11,F677*情景参数!C19)</f>
        <v>259.44359457</v>
      </c>
      <c r="I677" s="4" t="n">
        <f aca="false">IF(情景参数!E19="原表",驱动复算!U11,G677+H677)</f>
        <v>8785.9044110465</v>
      </c>
      <c r="J677" s="4" t="n">
        <f aca="false">(F677-I677)*(1-情景参数!F19)</f>
        <v>4186.2753174535</v>
      </c>
      <c r="K677" s="4" t="n">
        <f aca="false">偿债原表!F12</f>
        <v>9600</v>
      </c>
      <c r="L677" s="4" t="n">
        <f aca="false">偿债原表!G12</f>
        <v>1018.8</v>
      </c>
      <c r="M677" s="4" t="n">
        <f aca="false">K677+L677</f>
        <v>10618.8</v>
      </c>
      <c r="N677" s="4" t="n">
        <f aca="false">J677-M677</f>
        <v>-6432.5246825465</v>
      </c>
      <c r="O677" s="4" t="n">
        <f aca="false">O676+N677</f>
        <v>-9252.6450860965</v>
      </c>
      <c r="P677" s="4" t="n">
        <f aca="false">MAX(0,-(R676+N677))</f>
        <v>2036.1434548965</v>
      </c>
      <c r="Q677" s="4" t="n">
        <f aca="false">Q676+P677</f>
        <v>9252.6450860965</v>
      </c>
      <c r="R677" s="4" t="n">
        <f aca="false">O677+Q677</f>
        <v>0</v>
      </c>
    </row>
    <row r="678" customFormat="false" ht="15" hidden="false" customHeight="false" outlineLevel="0" collapsed="false">
      <c r="A678" s="2" t="s">
        <v>57</v>
      </c>
      <c r="B678" s="2" t="s">
        <v>40</v>
      </c>
      <c r="C678" s="12" t="n">
        <v>11</v>
      </c>
      <c r="D678" s="12" t="n">
        <v>2034</v>
      </c>
      <c r="E678" s="4" t="n">
        <f aca="false">INDEX(驱动复算!A12:X12,1,情景参数!B19)</f>
        <v>14296.7508675</v>
      </c>
      <c r="F678" s="4" t="n">
        <f aca="false">E678*(1-情景参数!D19)</f>
        <v>13581.913324125</v>
      </c>
      <c r="G678" s="4" t="n">
        <f aca="false">IF(情景参数!E19="原表",驱动复算!U12-驱动复算!W12,驱动复算!P12)</f>
        <v>8782.2546409708</v>
      </c>
      <c r="H678" s="4" t="n">
        <f aca="false">IF(情景参数!E19="原表",驱动复算!W12,F678*情景参数!C19)</f>
        <v>271.6382664825</v>
      </c>
      <c r="I678" s="4" t="n">
        <f aca="false">IF(情景参数!E19="原表",驱动复算!U12,G678+H678)</f>
        <v>9053.8929074533</v>
      </c>
      <c r="J678" s="4" t="n">
        <f aca="false">(F678-I678)*(1-情景参数!F19)</f>
        <v>4528.02041667171</v>
      </c>
      <c r="K678" s="4" t="n">
        <f aca="false">偿债原表!F13</f>
        <v>0</v>
      </c>
      <c r="L678" s="4" t="n">
        <f aca="false">偿债原表!G13</f>
        <v>673.2</v>
      </c>
      <c r="M678" s="4" t="n">
        <f aca="false">K678+L678</f>
        <v>673.2</v>
      </c>
      <c r="N678" s="4" t="n">
        <f aca="false">J678-M678</f>
        <v>3854.82041667171</v>
      </c>
      <c r="O678" s="4" t="n">
        <f aca="false">O677+N678</f>
        <v>-5397.82466942479</v>
      </c>
      <c r="P678" s="4" t="n">
        <f aca="false">MAX(0,-(R677+N678))</f>
        <v>0</v>
      </c>
      <c r="Q678" s="4" t="n">
        <f aca="false">Q677+P678</f>
        <v>9252.6450860965</v>
      </c>
      <c r="R678" s="4" t="n">
        <f aca="false">O678+Q678</f>
        <v>3854.82041667171</v>
      </c>
    </row>
    <row r="679" customFormat="false" ht="15" hidden="false" customHeight="false" outlineLevel="0" collapsed="false">
      <c r="A679" s="2" t="s">
        <v>57</v>
      </c>
      <c r="B679" s="2" t="s">
        <v>40</v>
      </c>
      <c r="C679" s="12" t="n">
        <v>12</v>
      </c>
      <c r="D679" s="12" t="n">
        <v>2035</v>
      </c>
      <c r="E679" s="4" t="n">
        <f aca="false">INDEX(驱动复算!A13:X13,1,情景参数!B19)</f>
        <v>14970.666946875</v>
      </c>
      <c r="F679" s="4" t="n">
        <f aca="false">E679*(1-情景参数!D19)</f>
        <v>14222.1335995313</v>
      </c>
      <c r="G679" s="4" t="n">
        <f aca="false">IF(情景参数!E19="原表",驱动复算!U13-驱动复算!W13,驱动复算!P13)</f>
        <v>9045.72228019992</v>
      </c>
      <c r="H679" s="4" t="n">
        <f aca="false">IF(情景参数!E19="原表",驱动复算!W13,F679*情景参数!C19)</f>
        <v>284.442671990625</v>
      </c>
      <c r="I679" s="4" t="n">
        <f aca="false">IF(情景参数!E19="原表",驱动复算!U13,G679+H679)</f>
        <v>9330.16495219055</v>
      </c>
      <c r="J679" s="4" t="n">
        <f aca="false">(F679-I679)*(1-情景参数!F19)</f>
        <v>4891.96864734071</v>
      </c>
      <c r="K679" s="4" t="n">
        <f aca="false">偿债原表!F14</f>
        <v>0</v>
      </c>
      <c r="L679" s="4" t="n">
        <f aca="false">偿债原表!G14</f>
        <v>673.2</v>
      </c>
      <c r="M679" s="4" t="n">
        <f aca="false">K679+L679</f>
        <v>673.2</v>
      </c>
      <c r="N679" s="4" t="n">
        <f aca="false">J679-M679</f>
        <v>4218.76864734071</v>
      </c>
      <c r="O679" s="4" t="n">
        <f aca="false">O678+N679</f>
        <v>-1179.05602208408</v>
      </c>
      <c r="P679" s="4" t="n">
        <f aca="false">MAX(0,-(R678+N679))</f>
        <v>0</v>
      </c>
      <c r="Q679" s="4" t="n">
        <f aca="false">Q678+P679</f>
        <v>9252.6450860965</v>
      </c>
      <c r="R679" s="4" t="n">
        <f aca="false">O679+Q679</f>
        <v>8073.58906401242</v>
      </c>
    </row>
    <row r="680" customFormat="false" ht="15" hidden="false" customHeight="false" outlineLevel="0" collapsed="false">
      <c r="A680" s="2" t="s">
        <v>57</v>
      </c>
      <c r="B680" s="2" t="s">
        <v>40</v>
      </c>
      <c r="C680" s="12" t="n">
        <v>13</v>
      </c>
      <c r="D680" s="12" t="n">
        <v>2036</v>
      </c>
      <c r="E680" s="4" t="n">
        <f aca="false">INDEX(驱动复算!A14:X14,1,情景参数!B19)</f>
        <v>15678.2788302188</v>
      </c>
      <c r="F680" s="4" t="n">
        <f aca="false">E680*(1-情景参数!D19)</f>
        <v>14894.3648887078</v>
      </c>
      <c r="G680" s="4" t="n">
        <f aca="false">IF(情景参数!E19="原表",驱动复算!U14-驱动复算!W14,驱动复算!P14)</f>
        <v>9317.09394860592</v>
      </c>
      <c r="H680" s="4" t="n">
        <f aca="false">IF(情景参数!E19="原表",驱动复算!W14,F680*情景参数!C19)</f>
        <v>297.887297774156</v>
      </c>
      <c r="I680" s="4" t="n">
        <f aca="false">IF(情景参数!E19="原表",驱动复算!U14,G680+H680)</f>
        <v>9614.98124638007</v>
      </c>
      <c r="J680" s="4" t="n">
        <f aca="false">(F680-I680)*(1-情景参数!F19)</f>
        <v>5279.38364232775</v>
      </c>
      <c r="K680" s="4" t="n">
        <f aca="false">偿债原表!F15</f>
        <v>0</v>
      </c>
      <c r="L680" s="4" t="n">
        <f aca="false">偿债原表!G15</f>
        <v>673.2</v>
      </c>
      <c r="M680" s="4" t="n">
        <f aca="false">K680+L680</f>
        <v>673.2</v>
      </c>
      <c r="N680" s="4" t="n">
        <f aca="false">J680-M680</f>
        <v>4606.18364232775</v>
      </c>
      <c r="O680" s="4" t="n">
        <f aca="false">O679+N680</f>
        <v>3427.12762024367</v>
      </c>
      <c r="P680" s="4" t="n">
        <f aca="false">MAX(0,-(R679+N680))</f>
        <v>0</v>
      </c>
      <c r="Q680" s="4" t="n">
        <f aca="false">Q679+P680</f>
        <v>9252.6450860965</v>
      </c>
      <c r="R680" s="4" t="n">
        <f aca="false">O680+Q680</f>
        <v>12679.7727063402</v>
      </c>
    </row>
    <row r="681" customFormat="false" ht="15" hidden="false" customHeight="false" outlineLevel="0" collapsed="false">
      <c r="A681" s="2" t="s">
        <v>57</v>
      </c>
      <c r="B681" s="2" t="s">
        <v>40</v>
      </c>
      <c r="C681" s="12" t="n">
        <v>14</v>
      </c>
      <c r="D681" s="12" t="n">
        <v>2037</v>
      </c>
      <c r="E681" s="4" t="n">
        <f aca="false">INDEX(驱动复算!A15:X15,1,情景参数!B19)</f>
        <v>16421.2713077297</v>
      </c>
      <c r="F681" s="4" t="n">
        <f aca="false">E681*(1-情景参数!D19)</f>
        <v>15600.2077423432</v>
      </c>
      <c r="G681" s="4" t="n">
        <f aca="false">IF(情景参数!E19="原表",驱动复算!U15-驱动复算!W15,驱动复算!P15)</f>
        <v>9596.6067670641</v>
      </c>
      <c r="H681" s="4" t="n">
        <f aca="false">IF(情景参数!E19="原表",驱动复算!W15,F681*情景参数!C19)</f>
        <v>312.004154846864</v>
      </c>
      <c r="I681" s="4" t="n">
        <f aca="false">IF(情景参数!E19="原表",驱动复算!U15,G681+H681)</f>
        <v>9908.61092191096</v>
      </c>
      <c r="J681" s="4" t="n">
        <f aca="false">(F681-I681)*(1-情景参数!F19)</f>
        <v>5691.59682043225</v>
      </c>
      <c r="K681" s="4" t="n">
        <f aca="false">偿债原表!F16</f>
        <v>1000</v>
      </c>
      <c r="L681" s="4" t="n">
        <f aca="false">偿债原表!G16</f>
        <v>673.2</v>
      </c>
      <c r="M681" s="4" t="n">
        <f aca="false">K681+L681</f>
        <v>1673.2</v>
      </c>
      <c r="N681" s="4" t="n">
        <f aca="false">J681-M681</f>
        <v>4018.39682043225</v>
      </c>
      <c r="O681" s="4" t="n">
        <f aca="false">O680+N681</f>
        <v>7445.52444067592</v>
      </c>
      <c r="P681" s="4" t="n">
        <f aca="false">MAX(0,-(R680+N681))</f>
        <v>0</v>
      </c>
      <c r="Q681" s="4" t="n">
        <f aca="false">Q680+P681</f>
        <v>9252.6450860965</v>
      </c>
      <c r="R681" s="4" t="n">
        <f aca="false">O681+Q681</f>
        <v>16698.1695267724</v>
      </c>
    </row>
    <row r="682" customFormat="false" ht="15" hidden="false" customHeight="false" outlineLevel="0" collapsed="false">
      <c r="A682" s="2" t="s">
        <v>57</v>
      </c>
      <c r="B682" s="2" t="s">
        <v>40</v>
      </c>
      <c r="C682" s="12" t="n">
        <v>15</v>
      </c>
      <c r="D682" s="12" t="n">
        <v>2038</v>
      </c>
      <c r="E682" s="4" t="n">
        <f aca="false">INDEX(驱动复算!A16:X16,1,情景参数!B19)</f>
        <v>16756.9170762843</v>
      </c>
      <c r="F682" s="4" t="n">
        <f aca="false">E682*(1-情景参数!D19)</f>
        <v>15919.0712224701</v>
      </c>
      <c r="G682" s="4" t="n">
        <f aca="false">IF(情景参数!E19="原表",驱动复算!U16-驱动复算!W16,驱动复算!P16)</f>
        <v>9884.50497007602</v>
      </c>
      <c r="H682" s="4" t="n">
        <f aca="false">IF(情景参数!E19="原表",驱动复算!W16,F682*情景参数!C19)</f>
        <v>318.381424449402</v>
      </c>
      <c r="I682" s="4" t="n">
        <f aca="false">IF(情景参数!E19="原表",驱动复算!U16,G682+H682)</f>
        <v>10202.8863945254</v>
      </c>
      <c r="J682" s="4" t="n">
        <f aca="false">(F682-I682)*(1-情景参数!F19)</f>
        <v>5716.18482794466</v>
      </c>
      <c r="K682" s="4" t="n">
        <f aca="false">偿债原表!F17</f>
        <v>0</v>
      </c>
      <c r="L682" s="4" t="n">
        <f aca="false">偿债原表!G17</f>
        <v>644</v>
      </c>
      <c r="M682" s="4" t="n">
        <f aca="false">K682+L682</f>
        <v>644</v>
      </c>
      <c r="N682" s="4" t="n">
        <f aca="false">J682-M682</f>
        <v>5072.18482794466</v>
      </c>
      <c r="O682" s="4" t="n">
        <f aca="false">O681+N682</f>
        <v>12517.7092686206</v>
      </c>
      <c r="P682" s="4" t="n">
        <f aca="false">MAX(0,-(R681+N682))</f>
        <v>0</v>
      </c>
      <c r="Q682" s="4" t="n">
        <f aca="false">Q681+P682</f>
        <v>9252.6450860965</v>
      </c>
      <c r="R682" s="4" t="n">
        <f aca="false">O682+Q682</f>
        <v>21770.3543547171</v>
      </c>
    </row>
    <row r="683" customFormat="false" ht="15" hidden="false" customHeight="false" outlineLevel="0" collapsed="false">
      <c r="A683" s="2" t="s">
        <v>57</v>
      </c>
      <c r="B683" s="2" t="s">
        <v>40</v>
      </c>
      <c r="C683" s="12" t="n">
        <v>16</v>
      </c>
      <c r="D683" s="12" t="n">
        <v>2039</v>
      </c>
      <c r="E683" s="4" t="n">
        <f aca="false">INDEX(驱动复算!A17:X17,1,情景参数!B19)</f>
        <v>17075.21505365</v>
      </c>
      <c r="F683" s="4" t="n">
        <f aca="false">E683*(1-情景参数!D19)</f>
        <v>16221.4543009675</v>
      </c>
      <c r="G683" s="4" t="n">
        <f aca="false">IF(情景参数!E19="原表",驱动复算!U17-驱动复算!W17,驱动复算!P17)</f>
        <v>10181.0401191783</v>
      </c>
      <c r="H683" s="4" t="n">
        <f aca="false">IF(情景参数!E19="原表",驱动复算!W17,F683*情景参数!C19)</f>
        <v>324.42908601935</v>
      </c>
      <c r="I683" s="4" t="n">
        <f aca="false">IF(情景参数!E19="原表",驱动复算!U17,G683+H683)</f>
        <v>10505.4692051976</v>
      </c>
      <c r="J683" s="4" t="n">
        <f aca="false">(F683-I683)*(1-情景参数!F19)</f>
        <v>5715.98509576983</v>
      </c>
      <c r="K683" s="4" t="n">
        <f aca="false">偿债原表!F18</f>
        <v>0</v>
      </c>
      <c r="L683" s="4" t="n">
        <f aca="false">偿债原表!G18</f>
        <v>644</v>
      </c>
      <c r="M683" s="4" t="n">
        <f aca="false">K683+L683</f>
        <v>644</v>
      </c>
      <c r="N683" s="4" t="n">
        <f aca="false">J683-M683</f>
        <v>5071.98509576983</v>
      </c>
      <c r="O683" s="4" t="n">
        <f aca="false">O682+N683</f>
        <v>17589.6943643904</v>
      </c>
      <c r="P683" s="4" t="n">
        <f aca="false">MAX(0,-(R682+N683))</f>
        <v>0</v>
      </c>
      <c r="Q683" s="4" t="n">
        <f aca="false">Q682+P683</f>
        <v>9252.6450860965</v>
      </c>
      <c r="R683" s="4" t="n">
        <f aca="false">O683+Q683</f>
        <v>26842.3394504869</v>
      </c>
    </row>
    <row r="684" customFormat="false" ht="15" hidden="false" customHeight="false" outlineLevel="0" collapsed="false">
      <c r="A684" s="2" t="s">
        <v>57</v>
      </c>
      <c r="B684" s="2" t="s">
        <v>40</v>
      </c>
      <c r="C684" s="12" t="n">
        <v>17</v>
      </c>
      <c r="D684" s="12" t="n">
        <v>2040</v>
      </c>
      <c r="E684" s="4" t="n">
        <f aca="false">INDEX(驱动复算!A18:X18,1,情景参数!B19)</f>
        <v>17399.878990563</v>
      </c>
      <c r="F684" s="4" t="n">
        <f aca="false">E684*(1-情景参数!D19)</f>
        <v>16529.8850410348</v>
      </c>
      <c r="G684" s="4" t="n">
        <f aca="false">IF(情景参数!E19="原表",驱动复算!U18-驱动复算!W18,驱动复算!P18)</f>
        <v>10486.4713227536</v>
      </c>
      <c r="H684" s="4" t="n">
        <f aca="false">IF(情景参数!E19="原表",驱动复算!W18,F684*情景参数!C19)</f>
        <v>330.597700820697</v>
      </c>
      <c r="I684" s="4" t="n">
        <f aca="false">IF(情景参数!E19="原表",驱动复算!U18,G684+H684)</f>
        <v>10817.0690235743</v>
      </c>
      <c r="J684" s="4" t="n">
        <f aca="false">(F684-I684)*(1-情景参数!F19)</f>
        <v>5712.81601746049</v>
      </c>
      <c r="K684" s="4" t="n">
        <f aca="false">偿债原表!F19</f>
        <v>0</v>
      </c>
      <c r="L684" s="4" t="n">
        <f aca="false">偿债原表!G19</f>
        <v>644</v>
      </c>
      <c r="M684" s="4" t="n">
        <f aca="false">K684+L684</f>
        <v>644</v>
      </c>
      <c r="N684" s="4" t="n">
        <f aca="false">J684-M684</f>
        <v>5068.81601746049</v>
      </c>
      <c r="O684" s="4" t="n">
        <f aca="false">O683+N684</f>
        <v>22658.5103818509</v>
      </c>
      <c r="P684" s="4" t="n">
        <f aca="false">MAX(0,-(R683+N684))</f>
        <v>0</v>
      </c>
      <c r="Q684" s="4" t="n">
        <f aca="false">Q683+P684</f>
        <v>9252.6450860965</v>
      </c>
      <c r="R684" s="4" t="n">
        <f aca="false">O684+Q684</f>
        <v>31911.1554679474</v>
      </c>
    </row>
    <row r="685" customFormat="false" ht="15" hidden="false" customHeight="false" outlineLevel="0" collapsed="false">
      <c r="A685" s="2" t="s">
        <v>57</v>
      </c>
      <c r="B685" s="2" t="s">
        <v>40</v>
      </c>
      <c r="C685" s="12" t="n">
        <v>18</v>
      </c>
      <c r="D685" s="12" t="n">
        <v>2041</v>
      </c>
      <c r="E685" s="4" t="n">
        <f aca="false">INDEX(驱动复算!A19:X19,1,情景参数!B19)</f>
        <v>17731.0362062142</v>
      </c>
      <c r="F685" s="4" t="n">
        <f aca="false">E685*(1-情景参数!D19)</f>
        <v>16844.4843959035</v>
      </c>
      <c r="G685" s="4" t="n">
        <f aca="false">IF(情景参数!E19="原表",驱动复算!U19-驱动复算!W19,驱动复算!P19)</f>
        <v>10801.0654624363</v>
      </c>
      <c r="H685" s="4" t="n">
        <f aca="false">IF(情景参数!E19="原表",驱动复算!W19,F685*情景参数!C19)</f>
        <v>336.889687918071</v>
      </c>
      <c r="I685" s="4" t="n">
        <f aca="false">IF(情景参数!E19="原表",驱动复算!U19,G685+H685)</f>
        <v>11137.9551503543</v>
      </c>
      <c r="J685" s="4" t="n">
        <f aca="false">(F685-I685)*(1-情景参数!F19)</f>
        <v>5706.52924554919</v>
      </c>
      <c r="K685" s="4" t="n">
        <f aca="false">偿债原表!F20</f>
        <v>20000</v>
      </c>
      <c r="L685" s="4" t="n">
        <f aca="false">偿债原表!G20</f>
        <v>644</v>
      </c>
      <c r="M685" s="4" t="n">
        <f aca="false">K685+L685</f>
        <v>20644</v>
      </c>
      <c r="N685" s="4" t="n">
        <f aca="false">J685-M685</f>
        <v>-14937.4707544508</v>
      </c>
      <c r="O685" s="4" t="n">
        <f aca="false">O684+N685</f>
        <v>7721.03962740008</v>
      </c>
      <c r="P685" s="4" t="n">
        <f aca="false">MAX(0,-(R684+N685))</f>
        <v>0</v>
      </c>
      <c r="Q685" s="4" t="n">
        <f aca="false">Q684+P685</f>
        <v>9252.6450860965</v>
      </c>
      <c r="R685" s="4" t="n">
        <f aca="false">O685+Q685</f>
        <v>16973.6847134966</v>
      </c>
    </row>
    <row r="686" customFormat="false" ht="15" hidden="false" customHeight="false" outlineLevel="0" collapsed="false">
      <c r="A686" s="2" t="s">
        <v>58</v>
      </c>
      <c r="B686" s="2" t="s">
        <v>39</v>
      </c>
      <c r="C686" s="12" t="n">
        <v>0</v>
      </c>
      <c r="D686" s="13" t="s">
        <v>248</v>
      </c>
      <c r="E686" s="4" t="n">
        <f aca="false">0</f>
        <v>0</v>
      </c>
      <c r="F686" s="4" t="n">
        <f aca="false">E686*(1-情景参数!D20)</f>
        <v>0</v>
      </c>
      <c r="G686" s="4" t="n">
        <f aca="false">0</f>
        <v>0</v>
      </c>
      <c r="H686" s="4" t="n">
        <f aca="false">0</f>
        <v>0</v>
      </c>
      <c r="I686" s="4" t="n">
        <f aca="false">0</f>
        <v>0</v>
      </c>
      <c r="J686" s="4" t="n">
        <f aca="false">(F686-I686)*(1-情景参数!F20)</f>
        <v>0</v>
      </c>
      <c r="K686" s="4" t="n">
        <f aca="false">偿债原表!C2</f>
        <v>0</v>
      </c>
      <c r="L686" s="4" t="n">
        <f aca="false">偿债原表!D2</f>
        <v>1374.2</v>
      </c>
      <c r="M686" s="4" t="n">
        <f aca="false">K686+L686</f>
        <v>1374.2</v>
      </c>
      <c r="N686" s="4" t="n">
        <f aca="false">J686-M686</f>
        <v>-1374.2</v>
      </c>
      <c r="O686" s="4" t="n">
        <f aca="false">N686</f>
        <v>-1374.2</v>
      </c>
      <c r="P686" s="4" t="n">
        <f aca="false">MAX(0,-N686)</f>
        <v>1374.2</v>
      </c>
      <c r="Q686" s="4" t="n">
        <f aca="false">P686</f>
        <v>1374.2</v>
      </c>
      <c r="R686" s="4" t="n">
        <f aca="false">O686+Q686</f>
        <v>0</v>
      </c>
    </row>
    <row r="687" customFormat="false" ht="15" hidden="false" customHeight="false" outlineLevel="0" collapsed="false">
      <c r="A687" s="2" t="s">
        <v>58</v>
      </c>
      <c r="B687" s="2" t="s">
        <v>39</v>
      </c>
      <c r="C687" s="12" t="n">
        <v>1</v>
      </c>
      <c r="D687" s="12" t="n">
        <v>2024</v>
      </c>
      <c r="E687" s="4" t="n">
        <f aca="false">INDEX(驱动复算!A2:X2,1,情景参数!B20)</f>
        <v>0</v>
      </c>
      <c r="F687" s="4" t="n">
        <f aca="false">E687*(1-情景参数!D20)</f>
        <v>0</v>
      </c>
      <c r="G687" s="4" t="n">
        <f aca="false">IF(情景参数!E20="原表",驱动复算!U2-驱动复算!W2,驱动复算!P2)</f>
        <v>0</v>
      </c>
      <c r="H687" s="4" t="n">
        <f aca="false">IF(情景参数!E20="原表",驱动复算!W2,F687*情景参数!C20)</f>
        <v>0</v>
      </c>
      <c r="I687" s="4" t="n">
        <f aca="false">IF(情景参数!E20="原表",驱动复算!U2,G687+H687)</f>
        <v>0</v>
      </c>
      <c r="J687" s="4" t="n">
        <f aca="false">(F687-I687)*(1-情景参数!F20)</f>
        <v>0</v>
      </c>
      <c r="K687" s="4" t="n">
        <f aca="false">偿债原表!C3</f>
        <v>0</v>
      </c>
      <c r="L687" s="4" t="n">
        <f aca="false">偿债原表!D3</f>
        <v>1093.2</v>
      </c>
      <c r="M687" s="4" t="n">
        <f aca="false">K687+L687</f>
        <v>1093.2</v>
      </c>
      <c r="N687" s="4" t="n">
        <f aca="false">J687-M687</f>
        <v>-1093.2</v>
      </c>
      <c r="O687" s="4" t="n">
        <f aca="false">O686+N687</f>
        <v>-2467.4</v>
      </c>
      <c r="P687" s="4" t="n">
        <f aca="false">MAX(0,-(R686+N687))</f>
        <v>1093.2</v>
      </c>
      <c r="Q687" s="4" t="n">
        <f aca="false">Q686+P687</f>
        <v>2467.4</v>
      </c>
      <c r="R687" s="4" t="n">
        <f aca="false">O687+Q687</f>
        <v>0</v>
      </c>
    </row>
    <row r="688" customFormat="false" ht="15" hidden="false" customHeight="false" outlineLevel="0" collapsed="false">
      <c r="A688" s="2" t="s">
        <v>58</v>
      </c>
      <c r="B688" s="2" t="s">
        <v>39</v>
      </c>
      <c r="C688" s="12" t="n">
        <v>2</v>
      </c>
      <c r="D688" s="12" t="n">
        <v>2025</v>
      </c>
      <c r="E688" s="4" t="n">
        <f aca="false">INDEX(驱动复算!A3:X3,1,情景参数!B20)</f>
        <v>0</v>
      </c>
      <c r="F688" s="4" t="n">
        <f aca="false">E688*(1-情景参数!D20)</f>
        <v>0</v>
      </c>
      <c r="G688" s="4" t="n">
        <f aca="false">IF(情景参数!E20="原表",驱动复算!U3-驱动复算!W3,驱动复算!P3)</f>
        <v>0</v>
      </c>
      <c r="H688" s="4" t="n">
        <f aca="false">IF(情景参数!E20="原表",驱动复算!W3,F688*情景参数!C20)</f>
        <v>0</v>
      </c>
      <c r="I688" s="4" t="n">
        <f aca="false">IF(情景参数!E20="原表",驱动复算!U3,G688+H688)</f>
        <v>0</v>
      </c>
      <c r="J688" s="4" t="n">
        <f aca="false">(F688-I688)*(1-情景参数!F20)</f>
        <v>0</v>
      </c>
      <c r="K688" s="4" t="n">
        <f aca="false">偿债原表!C4</f>
        <v>0</v>
      </c>
      <c r="L688" s="4" t="n">
        <f aca="false">偿债原表!D4</f>
        <v>1093.2</v>
      </c>
      <c r="M688" s="4" t="n">
        <f aca="false">K688+L688</f>
        <v>1093.2</v>
      </c>
      <c r="N688" s="4" t="n">
        <f aca="false">J688-M688</f>
        <v>-1093.2</v>
      </c>
      <c r="O688" s="4" t="n">
        <f aca="false">O687+N688</f>
        <v>-3560.6</v>
      </c>
      <c r="P688" s="4" t="n">
        <f aca="false">MAX(0,-(R687+N688))</f>
        <v>1093.2</v>
      </c>
      <c r="Q688" s="4" t="n">
        <f aca="false">Q687+P688</f>
        <v>3560.6</v>
      </c>
      <c r="R688" s="4" t="n">
        <f aca="false">O688+Q688</f>
        <v>0</v>
      </c>
    </row>
    <row r="689" customFormat="false" ht="15" hidden="false" customHeight="false" outlineLevel="0" collapsed="false">
      <c r="A689" s="2" t="s">
        <v>58</v>
      </c>
      <c r="B689" s="2" t="s">
        <v>39</v>
      </c>
      <c r="C689" s="12" t="n">
        <v>3</v>
      </c>
      <c r="D689" s="12" t="n">
        <v>2026</v>
      </c>
      <c r="E689" s="4" t="n">
        <f aca="false">INDEX(驱动复算!A4:X4,1,情景参数!B20)</f>
        <v>0</v>
      </c>
      <c r="F689" s="4" t="n">
        <f aca="false">E689*(1-情景参数!D20)</f>
        <v>0</v>
      </c>
      <c r="G689" s="4" t="n">
        <f aca="false">IF(情景参数!E20="原表",驱动复算!U4-驱动复算!W4,驱动复算!P4)</f>
        <v>0</v>
      </c>
      <c r="H689" s="4" t="n">
        <f aca="false">IF(情景参数!E20="原表",驱动复算!W4,F689*情景参数!C20)</f>
        <v>0</v>
      </c>
      <c r="I689" s="4" t="n">
        <f aca="false">IF(情景参数!E20="原表",驱动复算!U4,G689+H689)</f>
        <v>0</v>
      </c>
      <c r="J689" s="4" t="n">
        <f aca="false">(F689-I689)*(1-情景参数!F20)</f>
        <v>0</v>
      </c>
      <c r="K689" s="4" t="n">
        <f aca="false">偿债原表!C5</f>
        <v>0</v>
      </c>
      <c r="L689" s="4" t="n">
        <f aca="false">偿债原表!D5</f>
        <v>1093.2</v>
      </c>
      <c r="M689" s="4" t="n">
        <f aca="false">K689+L689</f>
        <v>1093.2</v>
      </c>
      <c r="N689" s="4" t="n">
        <f aca="false">J689-M689</f>
        <v>-1093.2</v>
      </c>
      <c r="O689" s="4" t="n">
        <f aca="false">O688+N689</f>
        <v>-4653.8</v>
      </c>
      <c r="P689" s="4" t="n">
        <f aca="false">MAX(0,-(R688+N689))</f>
        <v>1093.2</v>
      </c>
      <c r="Q689" s="4" t="n">
        <f aca="false">Q688+P689</f>
        <v>4653.8</v>
      </c>
      <c r="R689" s="4" t="n">
        <f aca="false">O689+Q689</f>
        <v>0</v>
      </c>
    </row>
    <row r="690" customFormat="false" ht="15" hidden="false" customHeight="false" outlineLevel="0" collapsed="false">
      <c r="A690" s="2" t="s">
        <v>58</v>
      </c>
      <c r="B690" s="2" t="s">
        <v>39</v>
      </c>
      <c r="C690" s="12" t="n">
        <v>4</v>
      </c>
      <c r="D690" s="12" t="n">
        <v>2027</v>
      </c>
      <c r="E690" s="4" t="n">
        <f aca="false">INDEX(驱动复算!A5:X5,1,情景参数!B20)</f>
        <v>0</v>
      </c>
      <c r="F690" s="4" t="n">
        <f aca="false">E690*(1-情景参数!D20)</f>
        <v>0</v>
      </c>
      <c r="G690" s="4" t="n">
        <f aca="false">IF(情景参数!E20="原表",驱动复算!U5-驱动复算!W5,驱动复算!P5)</f>
        <v>0</v>
      </c>
      <c r="H690" s="4" t="n">
        <f aca="false">IF(情景参数!E20="原表",驱动复算!W5,F690*情景参数!C20)</f>
        <v>0</v>
      </c>
      <c r="I690" s="4" t="n">
        <f aca="false">IF(情景参数!E20="原表",驱动复算!U5,G690+H690)</f>
        <v>0</v>
      </c>
      <c r="J690" s="4" t="n">
        <f aca="false">(F690-I690)*(1-情景参数!F20)</f>
        <v>0</v>
      </c>
      <c r="K690" s="4" t="n">
        <f aca="false">偿债原表!C6</f>
        <v>0</v>
      </c>
      <c r="L690" s="4" t="n">
        <f aca="false">偿债原表!D6</f>
        <v>1093.2</v>
      </c>
      <c r="M690" s="4" t="n">
        <f aca="false">K690+L690</f>
        <v>1093.2</v>
      </c>
      <c r="N690" s="4" t="n">
        <f aca="false">J690-M690</f>
        <v>-1093.2</v>
      </c>
      <c r="O690" s="4" t="n">
        <f aca="false">O689+N690</f>
        <v>-5747</v>
      </c>
      <c r="P690" s="4" t="n">
        <f aca="false">MAX(0,-(R689+N690))</f>
        <v>1093.2</v>
      </c>
      <c r="Q690" s="4" t="n">
        <f aca="false">Q689+P690</f>
        <v>5747</v>
      </c>
      <c r="R690" s="4" t="n">
        <f aca="false">O690+Q690</f>
        <v>0</v>
      </c>
    </row>
    <row r="691" customFormat="false" ht="15" hidden="false" customHeight="false" outlineLevel="0" collapsed="false">
      <c r="A691" s="2" t="s">
        <v>58</v>
      </c>
      <c r="B691" s="2" t="s">
        <v>39</v>
      </c>
      <c r="C691" s="12" t="n">
        <v>5</v>
      </c>
      <c r="D691" s="12" t="n">
        <v>2028</v>
      </c>
      <c r="E691" s="4" t="n">
        <f aca="false">INDEX(驱动复算!A6:X6,1,情景参数!B20)</f>
        <v>9076.9048</v>
      </c>
      <c r="F691" s="4" t="n">
        <f aca="false">E691*(1-情景参数!D20)</f>
        <v>8623.05956</v>
      </c>
      <c r="G691" s="4" t="n">
        <f aca="false">IF(情景参数!E20="原表",驱动复算!U6-驱动复算!W6,驱动复算!P6)</f>
        <v>7355</v>
      </c>
      <c r="H691" s="4" t="n">
        <f aca="false">IF(情景参数!E20="原表",驱动复算!W6,F691*情景参数!C20)</f>
        <v>431.152978</v>
      </c>
      <c r="I691" s="4" t="n">
        <f aca="false">IF(情景参数!E20="原表",驱动复算!U6,G691+H691)</f>
        <v>7786.152978</v>
      </c>
      <c r="J691" s="4" t="n">
        <f aca="false">(F691-I691)*(1-情景参数!F20)</f>
        <v>836.906581999998</v>
      </c>
      <c r="K691" s="4" t="n">
        <f aca="false">偿债原表!C7</f>
        <v>11000</v>
      </c>
      <c r="L691" s="4" t="n">
        <f aca="false">偿债原表!D7</f>
        <v>1093.2</v>
      </c>
      <c r="M691" s="4" t="n">
        <f aca="false">K691+L691</f>
        <v>12093.2</v>
      </c>
      <c r="N691" s="4" t="n">
        <f aca="false">J691-M691</f>
        <v>-11256.293418</v>
      </c>
      <c r="O691" s="4" t="n">
        <f aca="false">O690+N691</f>
        <v>-17003.293418</v>
      </c>
      <c r="P691" s="4" t="n">
        <f aca="false">MAX(0,-(R690+N691))</f>
        <v>11256.293418</v>
      </c>
      <c r="Q691" s="4" t="n">
        <f aca="false">Q690+P691</f>
        <v>17003.293418</v>
      </c>
      <c r="R691" s="4" t="n">
        <f aca="false">O691+Q691</f>
        <v>0</v>
      </c>
    </row>
    <row r="692" customFormat="false" ht="15" hidden="false" customHeight="false" outlineLevel="0" collapsed="false">
      <c r="A692" s="2" t="s">
        <v>58</v>
      </c>
      <c r="B692" s="2" t="s">
        <v>39</v>
      </c>
      <c r="C692" s="12" t="n">
        <v>6</v>
      </c>
      <c r="D692" s="12" t="n">
        <v>2029</v>
      </c>
      <c r="E692" s="4" t="n">
        <f aca="false">INDEX(驱动复算!A7:X7,1,情景参数!B20)</f>
        <v>9911.9048</v>
      </c>
      <c r="F692" s="4" t="n">
        <f aca="false">E692*(1-情景参数!D20)</f>
        <v>9416.30956</v>
      </c>
      <c r="G692" s="4" t="n">
        <f aca="false">IF(情景参数!E20="原表",驱动复算!U7-驱动复算!W7,驱动复算!P7)</f>
        <v>7575.65</v>
      </c>
      <c r="H692" s="4" t="n">
        <f aca="false">IF(情景参数!E20="原表",驱动复算!W7,F692*情景参数!C20)</f>
        <v>470.815478</v>
      </c>
      <c r="I692" s="4" t="n">
        <f aca="false">IF(情景参数!E20="原表",驱动复算!U7,G692+H692)</f>
        <v>8046.465478</v>
      </c>
      <c r="J692" s="4" t="n">
        <f aca="false">(F692-I692)*(1-情景参数!F20)</f>
        <v>1369.844082</v>
      </c>
      <c r="K692" s="4" t="n">
        <f aca="false">偿债原表!C8</f>
        <v>0</v>
      </c>
      <c r="L692" s="4" t="n">
        <f aca="false">偿债原表!D8</f>
        <v>730.2</v>
      </c>
      <c r="M692" s="4" t="n">
        <f aca="false">K692+L692</f>
        <v>730.2</v>
      </c>
      <c r="N692" s="4" t="n">
        <f aca="false">J692-M692</f>
        <v>639.644081999998</v>
      </c>
      <c r="O692" s="4" t="n">
        <f aca="false">O691+N692</f>
        <v>-16363.649336</v>
      </c>
      <c r="P692" s="4" t="n">
        <f aca="false">MAX(0,-(R691+N692))</f>
        <v>0</v>
      </c>
      <c r="Q692" s="4" t="n">
        <f aca="false">Q691+P692</f>
        <v>17003.293418</v>
      </c>
      <c r="R692" s="4" t="n">
        <f aca="false">O692+Q692</f>
        <v>639.644081999997</v>
      </c>
    </row>
    <row r="693" customFormat="false" ht="15" hidden="false" customHeight="false" outlineLevel="0" collapsed="false">
      <c r="A693" s="2" t="s">
        <v>58</v>
      </c>
      <c r="B693" s="2" t="s">
        <v>39</v>
      </c>
      <c r="C693" s="12" t="n">
        <v>7</v>
      </c>
      <c r="D693" s="12" t="n">
        <v>2030</v>
      </c>
      <c r="E693" s="4" t="n">
        <f aca="false">INDEX(驱动复算!A8:X8,1,情景参数!B20)</f>
        <v>10830.4048</v>
      </c>
      <c r="F693" s="4" t="n">
        <f aca="false">E693*(1-情景参数!D20)</f>
        <v>10288.88456</v>
      </c>
      <c r="G693" s="4" t="n">
        <f aca="false">IF(情景参数!E20="原表",驱动复算!U8-驱动复算!W8,驱动复算!P8)</f>
        <v>7802.9195</v>
      </c>
      <c r="H693" s="4" t="n">
        <f aca="false">IF(情景参数!E20="原表",驱动复算!W8,F693*情景参数!C20)</f>
        <v>514.444228</v>
      </c>
      <c r="I693" s="4" t="n">
        <f aca="false">IF(情景参数!E20="原表",驱动复算!U8,G693+H693)</f>
        <v>8317.363728</v>
      </c>
      <c r="J693" s="4" t="n">
        <f aca="false">(F693-I693)*(1-情景参数!F20)</f>
        <v>1971.520832</v>
      </c>
      <c r="K693" s="4" t="n">
        <f aca="false">偿债原表!C9</f>
        <v>0</v>
      </c>
      <c r="L693" s="4" t="n">
        <f aca="false">偿债原表!D9</f>
        <v>730.2</v>
      </c>
      <c r="M693" s="4" t="n">
        <f aca="false">K693+L693</f>
        <v>730.2</v>
      </c>
      <c r="N693" s="4" t="n">
        <f aca="false">J693-M693</f>
        <v>1241.320832</v>
      </c>
      <c r="O693" s="4" t="n">
        <f aca="false">O692+N693</f>
        <v>-15122.328504</v>
      </c>
      <c r="P693" s="4" t="n">
        <f aca="false">MAX(0,-(R692+N693))</f>
        <v>0</v>
      </c>
      <c r="Q693" s="4" t="n">
        <f aca="false">Q692+P693</f>
        <v>17003.293418</v>
      </c>
      <c r="R693" s="4" t="n">
        <f aca="false">O693+Q693</f>
        <v>1880.964914</v>
      </c>
    </row>
    <row r="694" customFormat="false" ht="15" hidden="false" customHeight="false" outlineLevel="0" collapsed="false">
      <c r="A694" s="2" t="s">
        <v>58</v>
      </c>
      <c r="B694" s="2" t="s">
        <v>39</v>
      </c>
      <c r="C694" s="12" t="n">
        <v>8</v>
      </c>
      <c r="D694" s="12" t="n">
        <v>2031</v>
      </c>
      <c r="E694" s="4" t="n">
        <f aca="false">INDEX(驱动复算!A9:X9,1,情景参数!B20)</f>
        <v>11840.7548</v>
      </c>
      <c r="F694" s="4" t="n">
        <f aca="false">E694*(1-情景参数!D20)</f>
        <v>11248.71706</v>
      </c>
      <c r="G694" s="4" t="n">
        <f aca="false">IF(情景参数!E20="原表",驱动复算!U9-驱动复算!W9,驱动复算!P9)</f>
        <v>8037.007085</v>
      </c>
      <c r="H694" s="4" t="n">
        <f aca="false">IF(情景参数!E20="原表",驱动复算!W9,F694*情景参数!C20)</f>
        <v>562.435853</v>
      </c>
      <c r="I694" s="4" t="n">
        <f aca="false">IF(情景参数!E20="原表",驱动复算!U9,G694+H694)</f>
        <v>8599.442938</v>
      </c>
      <c r="J694" s="4" t="n">
        <f aca="false">(F694-I694)*(1-情景参数!F20)</f>
        <v>2649.274122</v>
      </c>
      <c r="K694" s="4" t="n">
        <f aca="false">偿债原表!C10</f>
        <v>0</v>
      </c>
      <c r="L694" s="4" t="n">
        <f aca="false">偿债原表!D10</f>
        <v>730.2</v>
      </c>
      <c r="M694" s="4" t="n">
        <f aca="false">K694+L694</f>
        <v>730.2</v>
      </c>
      <c r="N694" s="4" t="n">
        <f aca="false">J694-M694</f>
        <v>1919.074122</v>
      </c>
      <c r="O694" s="4" t="n">
        <f aca="false">O693+N694</f>
        <v>-13203.254382</v>
      </c>
      <c r="P694" s="4" t="n">
        <f aca="false">MAX(0,-(R693+N694))</f>
        <v>0</v>
      </c>
      <c r="Q694" s="4" t="n">
        <f aca="false">Q693+P694</f>
        <v>17003.293418</v>
      </c>
      <c r="R694" s="4" t="n">
        <f aca="false">O694+Q694</f>
        <v>3800.039036</v>
      </c>
    </row>
    <row r="695" customFormat="false" ht="15" hidden="false" customHeight="false" outlineLevel="0" collapsed="false">
      <c r="A695" s="2" t="s">
        <v>58</v>
      </c>
      <c r="B695" s="2" t="s">
        <v>39</v>
      </c>
      <c r="C695" s="12" t="n">
        <v>9</v>
      </c>
      <c r="D695" s="12" t="n">
        <v>2032</v>
      </c>
      <c r="E695" s="4" t="n">
        <f aca="false">INDEX(驱动复算!A10:X10,1,情景参数!B20)</f>
        <v>12952.1398</v>
      </c>
      <c r="F695" s="4" t="n">
        <f aca="false">E695*(1-情景参数!D20)</f>
        <v>12304.53281</v>
      </c>
      <c r="G695" s="4" t="n">
        <f aca="false">IF(情景参数!E20="原表",驱动复算!U10-驱动复算!W10,驱动复算!P10)</f>
        <v>8278.11729755</v>
      </c>
      <c r="H695" s="4" t="n">
        <f aca="false">IF(情景参数!E20="原表",驱动复算!W10,F695*情景参数!C20)</f>
        <v>615.2266405</v>
      </c>
      <c r="I695" s="4" t="n">
        <f aca="false">IF(情景参数!E20="原表",驱动复算!U10,G695+H695)</f>
        <v>8893.34393805</v>
      </c>
      <c r="J695" s="4" t="n">
        <f aca="false">(F695-I695)*(1-情景参数!F20)</f>
        <v>3411.18887195</v>
      </c>
      <c r="K695" s="4" t="n">
        <f aca="false">偿债原表!C11</f>
        <v>2000</v>
      </c>
      <c r="L695" s="4" t="n">
        <f aca="false">偿债原表!D11</f>
        <v>730.2</v>
      </c>
      <c r="M695" s="4" t="n">
        <f aca="false">K695+L695</f>
        <v>2730.2</v>
      </c>
      <c r="N695" s="4" t="n">
        <f aca="false">J695-M695</f>
        <v>680.98887195</v>
      </c>
      <c r="O695" s="4" t="n">
        <f aca="false">O694+N695</f>
        <v>-12522.26551005</v>
      </c>
      <c r="P695" s="4" t="n">
        <f aca="false">MAX(0,-(R694+N695))</f>
        <v>0</v>
      </c>
      <c r="Q695" s="4" t="n">
        <f aca="false">Q694+P695</f>
        <v>17003.293418</v>
      </c>
      <c r="R695" s="4" t="n">
        <f aca="false">O695+Q695</f>
        <v>4481.02790795</v>
      </c>
    </row>
    <row r="696" customFormat="false" ht="15" hidden="false" customHeight="false" outlineLevel="0" collapsed="false">
      <c r="A696" s="2" t="s">
        <v>58</v>
      </c>
      <c r="B696" s="2" t="s">
        <v>39</v>
      </c>
      <c r="C696" s="12" t="n">
        <v>10</v>
      </c>
      <c r="D696" s="12" t="n">
        <v>2033</v>
      </c>
      <c r="E696" s="4" t="n">
        <f aca="false">INDEX(驱动复算!A11:X11,1,情景参数!B20)</f>
        <v>13654.92603</v>
      </c>
      <c r="F696" s="4" t="n">
        <f aca="false">E696*(1-情景参数!D20)</f>
        <v>12972.1797285</v>
      </c>
      <c r="G696" s="4" t="n">
        <f aca="false">IF(情景参数!E20="原表",驱动复算!U11-驱动复算!W11,驱动复算!P11)</f>
        <v>8526.4608164765</v>
      </c>
      <c r="H696" s="4" t="n">
        <f aca="false">IF(情景参数!E20="原表",驱动复算!W11,F696*情景参数!C20)</f>
        <v>648.608986425</v>
      </c>
      <c r="I696" s="4" t="n">
        <f aca="false">IF(情景参数!E20="原表",驱动复算!U11,G696+H696)</f>
        <v>9175.0698029015</v>
      </c>
      <c r="J696" s="4" t="n">
        <f aca="false">(F696-I696)*(1-情景参数!F20)</f>
        <v>3797.1099255985</v>
      </c>
      <c r="K696" s="4" t="n">
        <f aca="false">偿债原表!C12</f>
        <v>0</v>
      </c>
      <c r="L696" s="4" t="n">
        <f aca="false">偿债原表!D12</f>
        <v>673.2</v>
      </c>
      <c r="M696" s="4" t="n">
        <f aca="false">K696+L696</f>
        <v>673.2</v>
      </c>
      <c r="N696" s="4" t="n">
        <f aca="false">J696-M696</f>
        <v>3123.9099255985</v>
      </c>
      <c r="O696" s="4" t="n">
        <f aca="false">O695+N696</f>
        <v>-9398.3555844515</v>
      </c>
      <c r="P696" s="4" t="n">
        <f aca="false">MAX(0,-(R695+N696))</f>
        <v>0</v>
      </c>
      <c r="Q696" s="4" t="n">
        <f aca="false">Q695+P696</f>
        <v>17003.293418</v>
      </c>
      <c r="R696" s="4" t="n">
        <f aca="false">O696+Q696</f>
        <v>7604.9378335485</v>
      </c>
    </row>
    <row r="697" customFormat="false" ht="15" hidden="false" customHeight="false" outlineLevel="0" collapsed="false">
      <c r="A697" s="2" t="s">
        <v>58</v>
      </c>
      <c r="B697" s="2" t="s">
        <v>39</v>
      </c>
      <c r="C697" s="12" t="n">
        <v>11</v>
      </c>
      <c r="D697" s="12" t="n">
        <v>2034</v>
      </c>
      <c r="E697" s="4" t="n">
        <f aca="false">INDEX(驱动复算!A12:X12,1,情景参数!B20)</f>
        <v>14296.7508675</v>
      </c>
      <c r="F697" s="4" t="n">
        <f aca="false">E697*(1-情景参数!D20)</f>
        <v>13581.913324125</v>
      </c>
      <c r="G697" s="4" t="n">
        <f aca="false">IF(情景参数!E20="原表",驱动复算!U12-驱动复算!W12,驱动复算!P12)</f>
        <v>8782.2546409708</v>
      </c>
      <c r="H697" s="4" t="n">
        <f aca="false">IF(情景参数!E20="原表",驱动复算!W12,F697*情景参数!C20)</f>
        <v>679.09566620625</v>
      </c>
      <c r="I697" s="4" t="n">
        <f aca="false">IF(情景参数!E20="原表",驱动复算!U12,G697+H697)</f>
        <v>9461.35030717705</v>
      </c>
      <c r="J697" s="4" t="n">
        <f aca="false">(F697-I697)*(1-情景参数!F20)</f>
        <v>4120.56301694796</v>
      </c>
      <c r="K697" s="4" t="n">
        <f aca="false">偿债原表!C13</f>
        <v>0</v>
      </c>
      <c r="L697" s="4" t="n">
        <f aca="false">偿债原表!D13</f>
        <v>673.2</v>
      </c>
      <c r="M697" s="4" t="n">
        <f aca="false">K697+L697</f>
        <v>673.2</v>
      </c>
      <c r="N697" s="4" t="n">
        <f aca="false">J697-M697</f>
        <v>3447.36301694796</v>
      </c>
      <c r="O697" s="4" t="n">
        <f aca="false">O696+N697</f>
        <v>-5950.99256750354</v>
      </c>
      <c r="P697" s="4" t="n">
        <f aca="false">MAX(0,-(R696+N697))</f>
        <v>0</v>
      </c>
      <c r="Q697" s="4" t="n">
        <f aca="false">Q696+P697</f>
        <v>17003.293418</v>
      </c>
      <c r="R697" s="4" t="n">
        <f aca="false">O697+Q697</f>
        <v>11052.3008504965</v>
      </c>
    </row>
    <row r="698" customFormat="false" ht="15" hidden="false" customHeight="false" outlineLevel="0" collapsed="false">
      <c r="A698" s="2" t="s">
        <v>58</v>
      </c>
      <c r="B698" s="2" t="s">
        <v>39</v>
      </c>
      <c r="C698" s="12" t="n">
        <v>12</v>
      </c>
      <c r="D698" s="12" t="n">
        <v>2035</v>
      </c>
      <c r="E698" s="4" t="n">
        <f aca="false">INDEX(驱动复算!A13:X13,1,情景参数!B20)</f>
        <v>14970.666946875</v>
      </c>
      <c r="F698" s="4" t="n">
        <f aca="false">E698*(1-情景参数!D20)</f>
        <v>14222.1335995313</v>
      </c>
      <c r="G698" s="4" t="n">
        <f aca="false">IF(情景参数!E20="原表",驱动复算!U13-驱动复算!W13,驱动复算!P13)</f>
        <v>9045.72228019992</v>
      </c>
      <c r="H698" s="4" t="n">
        <f aca="false">IF(情景参数!E20="原表",驱动复算!W13,F698*情景参数!C20)</f>
        <v>711.106679976563</v>
      </c>
      <c r="I698" s="4" t="n">
        <f aca="false">IF(情景参数!E20="原表",驱动复算!U13,G698+H698)</f>
        <v>9756.82896017648</v>
      </c>
      <c r="J698" s="4" t="n">
        <f aca="false">(F698-I698)*(1-情景参数!F20)</f>
        <v>4465.30463935477</v>
      </c>
      <c r="K698" s="4" t="n">
        <f aca="false">偿债原表!C14</f>
        <v>0</v>
      </c>
      <c r="L698" s="4" t="n">
        <f aca="false">偿债原表!D14</f>
        <v>673.2</v>
      </c>
      <c r="M698" s="4" t="n">
        <f aca="false">K698+L698</f>
        <v>673.2</v>
      </c>
      <c r="N698" s="4" t="n">
        <f aca="false">J698-M698</f>
        <v>3792.10463935477</v>
      </c>
      <c r="O698" s="4" t="n">
        <f aca="false">O697+N698</f>
        <v>-2158.88792814877</v>
      </c>
      <c r="P698" s="4" t="n">
        <f aca="false">MAX(0,-(R697+N698))</f>
        <v>0</v>
      </c>
      <c r="Q698" s="4" t="n">
        <f aca="false">Q697+P698</f>
        <v>17003.293418</v>
      </c>
      <c r="R698" s="4" t="n">
        <f aca="false">O698+Q698</f>
        <v>14844.4054898512</v>
      </c>
    </row>
    <row r="699" customFormat="false" ht="15" hidden="false" customHeight="false" outlineLevel="0" collapsed="false">
      <c r="A699" s="2" t="s">
        <v>58</v>
      </c>
      <c r="B699" s="2" t="s">
        <v>39</v>
      </c>
      <c r="C699" s="12" t="n">
        <v>13</v>
      </c>
      <c r="D699" s="12" t="n">
        <v>2036</v>
      </c>
      <c r="E699" s="4" t="n">
        <f aca="false">INDEX(驱动复算!A14:X14,1,情景参数!B20)</f>
        <v>15678.2788302188</v>
      </c>
      <c r="F699" s="4" t="n">
        <f aca="false">E699*(1-情景参数!D20)</f>
        <v>14894.3648887078</v>
      </c>
      <c r="G699" s="4" t="n">
        <f aca="false">IF(情景参数!E20="原表",驱动复算!U14-驱动复算!W14,驱动复算!P14)</f>
        <v>9317.09394860592</v>
      </c>
      <c r="H699" s="4" t="n">
        <f aca="false">IF(情景参数!E20="原表",驱动复算!W14,F699*情景参数!C20)</f>
        <v>744.718244435391</v>
      </c>
      <c r="I699" s="4" t="n">
        <f aca="false">IF(情景参数!E20="原表",驱动复算!U14,G699+H699)</f>
        <v>10061.8121930413</v>
      </c>
      <c r="J699" s="4" t="n">
        <f aca="false">(F699-I699)*(1-情景参数!F20)</f>
        <v>4832.55269566651</v>
      </c>
      <c r="K699" s="4" t="n">
        <f aca="false">偿债原表!C15</f>
        <v>0</v>
      </c>
      <c r="L699" s="4" t="n">
        <f aca="false">偿债原表!D15</f>
        <v>673.2</v>
      </c>
      <c r="M699" s="4" t="n">
        <f aca="false">K699+L699</f>
        <v>673.2</v>
      </c>
      <c r="N699" s="4" t="n">
        <f aca="false">J699-M699</f>
        <v>4159.35269566651</v>
      </c>
      <c r="O699" s="4" t="n">
        <f aca="false">O698+N699</f>
        <v>2000.46476751774</v>
      </c>
      <c r="P699" s="4" t="n">
        <f aca="false">MAX(0,-(R698+N699))</f>
        <v>0</v>
      </c>
      <c r="Q699" s="4" t="n">
        <f aca="false">Q698+P699</f>
        <v>17003.293418</v>
      </c>
      <c r="R699" s="4" t="n">
        <f aca="false">O699+Q699</f>
        <v>19003.7581855177</v>
      </c>
    </row>
    <row r="700" customFormat="false" ht="15" hidden="false" customHeight="false" outlineLevel="0" collapsed="false">
      <c r="A700" s="2" t="s">
        <v>58</v>
      </c>
      <c r="B700" s="2" t="s">
        <v>39</v>
      </c>
      <c r="C700" s="12" t="n">
        <v>14</v>
      </c>
      <c r="D700" s="12" t="n">
        <v>2037</v>
      </c>
      <c r="E700" s="4" t="n">
        <f aca="false">INDEX(驱动复算!A15:X15,1,情景参数!B20)</f>
        <v>16421.2713077297</v>
      </c>
      <c r="F700" s="4" t="n">
        <f aca="false">E700*(1-情景参数!D20)</f>
        <v>15600.2077423432</v>
      </c>
      <c r="G700" s="4" t="n">
        <f aca="false">IF(情景参数!E20="原表",驱动复算!U15-驱动复算!W15,驱动复算!P15)</f>
        <v>9596.6067670641</v>
      </c>
      <c r="H700" s="4" t="n">
        <f aca="false">IF(情景参数!E20="原表",驱动复算!W15,F700*情景参数!C20)</f>
        <v>780.010387117161</v>
      </c>
      <c r="I700" s="4" t="n">
        <f aca="false">IF(情景参数!E20="原表",驱动复算!U15,G700+H700)</f>
        <v>10376.6171541813</v>
      </c>
      <c r="J700" s="4" t="n">
        <f aca="false">(F700-I700)*(1-情景参数!F20)</f>
        <v>5223.59058816195</v>
      </c>
      <c r="K700" s="4" t="n">
        <f aca="false">偿债原表!C16</f>
        <v>1000</v>
      </c>
      <c r="L700" s="4" t="n">
        <f aca="false">偿债原表!D16</f>
        <v>673.2</v>
      </c>
      <c r="M700" s="4" t="n">
        <f aca="false">K700+L700</f>
        <v>1673.2</v>
      </c>
      <c r="N700" s="4" t="n">
        <f aca="false">J700-M700</f>
        <v>3550.39058816195</v>
      </c>
      <c r="O700" s="4" t="n">
        <f aca="false">O699+N700</f>
        <v>5550.85535567969</v>
      </c>
      <c r="P700" s="4" t="n">
        <f aca="false">MAX(0,-(R699+N700))</f>
        <v>0</v>
      </c>
      <c r="Q700" s="4" t="n">
        <f aca="false">Q699+P700</f>
        <v>17003.293418</v>
      </c>
      <c r="R700" s="4" t="n">
        <f aca="false">O700+Q700</f>
        <v>22554.1487736797</v>
      </c>
    </row>
    <row r="701" customFormat="false" ht="15" hidden="false" customHeight="false" outlineLevel="0" collapsed="false">
      <c r="A701" s="2" t="s">
        <v>58</v>
      </c>
      <c r="B701" s="2" t="s">
        <v>39</v>
      </c>
      <c r="C701" s="12" t="n">
        <v>15</v>
      </c>
      <c r="D701" s="12" t="n">
        <v>2038</v>
      </c>
      <c r="E701" s="4" t="n">
        <f aca="false">INDEX(驱动复算!A16:X16,1,情景参数!B20)</f>
        <v>16756.9170762843</v>
      </c>
      <c r="F701" s="4" t="n">
        <f aca="false">E701*(1-情景参数!D20)</f>
        <v>15919.0712224701</v>
      </c>
      <c r="G701" s="4" t="n">
        <f aca="false">IF(情景参数!E20="原表",驱动复算!U16-驱动复算!W16,驱动复算!P16)</f>
        <v>9884.50497007602</v>
      </c>
      <c r="H701" s="4" t="n">
        <f aca="false">IF(情景参数!E20="原表",驱动复算!W16,F701*情景参数!C20)</f>
        <v>795.953561123504</v>
      </c>
      <c r="I701" s="4" t="n">
        <f aca="false">IF(情景参数!E20="原表",驱动复算!U16,G701+H701)</f>
        <v>10680.4585311995</v>
      </c>
      <c r="J701" s="4" t="n">
        <f aca="false">(F701-I701)*(1-情景参数!F20)</f>
        <v>5238.61269127055</v>
      </c>
      <c r="K701" s="4" t="n">
        <f aca="false">偿债原表!C17</f>
        <v>0</v>
      </c>
      <c r="L701" s="4" t="n">
        <f aca="false">偿债原表!D17</f>
        <v>644</v>
      </c>
      <c r="M701" s="4" t="n">
        <f aca="false">K701+L701</f>
        <v>644</v>
      </c>
      <c r="N701" s="4" t="n">
        <f aca="false">J701-M701</f>
        <v>4594.61269127055</v>
      </c>
      <c r="O701" s="4" t="n">
        <f aca="false">O700+N701</f>
        <v>10145.4680469502</v>
      </c>
      <c r="P701" s="4" t="n">
        <f aca="false">MAX(0,-(R700+N701))</f>
        <v>0</v>
      </c>
      <c r="Q701" s="4" t="n">
        <f aca="false">Q700+P701</f>
        <v>17003.293418</v>
      </c>
      <c r="R701" s="4" t="n">
        <f aca="false">O701+Q701</f>
        <v>27148.7614649502</v>
      </c>
    </row>
    <row r="702" customFormat="false" ht="15" hidden="false" customHeight="false" outlineLevel="0" collapsed="false">
      <c r="A702" s="2" t="s">
        <v>58</v>
      </c>
      <c r="B702" s="2" t="s">
        <v>39</v>
      </c>
      <c r="C702" s="12" t="n">
        <v>16</v>
      </c>
      <c r="D702" s="12" t="n">
        <v>2039</v>
      </c>
      <c r="E702" s="4" t="n">
        <f aca="false">INDEX(驱动复算!A17:X17,1,情景参数!B20)</f>
        <v>17075.21505365</v>
      </c>
      <c r="F702" s="4" t="n">
        <f aca="false">E702*(1-情景参数!D20)</f>
        <v>16221.4543009675</v>
      </c>
      <c r="G702" s="4" t="n">
        <f aca="false">IF(情景参数!E20="原表",驱动复算!U17-驱动复算!W17,驱动复算!P17)</f>
        <v>10181.0401191783</v>
      </c>
      <c r="H702" s="4" t="n">
        <f aca="false">IF(情景参数!E20="原表",驱动复算!W17,F702*情景参数!C20)</f>
        <v>811.072715048374</v>
      </c>
      <c r="I702" s="4" t="n">
        <f aca="false">IF(情景参数!E20="原表",驱动复算!U17,G702+H702)</f>
        <v>10992.1128342267</v>
      </c>
      <c r="J702" s="4" t="n">
        <f aca="false">(F702-I702)*(1-情景参数!F20)</f>
        <v>5229.34146674081</v>
      </c>
      <c r="K702" s="4" t="n">
        <f aca="false">偿债原表!C18</f>
        <v>0</v>
      </c>
      <c r="L702" s="4" t="n">
        <f aca="false">偿债原表!D18</f>
        <v>644</v>
      </c>
      <c r="M702" s="4" t="n">
        <f aca="false">K702+L702</f>
        <v>644</v>
      </c>
      <c r="N702" s="4" t="n">
        <f aca="false">J702-M702</f>
        <v>4585.34146674081</v>
      </c>
      <c r="O702" s="4" t="n">
        <f aca="false">O701+N702</f>
        <v>14730.809513691</v>
      </c>
      <c r="P702" s="4" t="n">
        <f aca="false">MAX(0,-(R701+N702))</f>
        <v>0</v>
      </c>
      <c r="Q702" s="4" t="n">
        <f aca="false">Q701+P702</f>
        <v>17003.293418</v>
      </c>
      <c r="R702" s="4" t="n">
        <f aca="false">O702+Q702</f>
        <v>31734.1029316911</v>
      </c>
    </row>
    <row r="703" customFormat="false" ht="15" hidden="false" customHeight="false" outlineLevel="0" collapsed="false">
      <c r="A703" s="2" t="s">
        <v>58</v>
      </c>
      <c r="B703" s="2" t="s">
        <v>39</v>
      </c>
      <c r="C703" s="12" t="n">
        <v>17</v>
      </c>
      <c r="D703" s="12" t="n">
        <v>2040</v>
      </c>
      <c r="E703" s="4" t="n">
        <f aca="false">INDEX(驱动复算!A18:X18,1,情景参数!B20)</f>
        <v>17399.878990563</v>
      </c>
      <c r="F703" s="4" t="n">
        <f aca="false">E703*(1-情景参数!D20)</f>
        <v>16529.8850410348</v>
      </c>
      <c r="G703" s="4" t="n">
        <f aca="false">IF(情景参数!E20="原表",驱动复算!U18-驱动复算!W18,驱动复算!P18)</f>
        <v>10486.4713227536</v>
      </c>
      <c r="H703" s="4" t="n">
        <f aca="false">IF(情景参数!E20="原表",驱动复算!W18,F703*情景参数!C20)</f>
        <v>826.494252051742</v>
      </c>
      <c r="I703" s="4" t="n">
        <f aca="false">IF(情景参数!E20="原表",驱动复算!U18,G703+H703)</f>
        <v>11312.9655748054</v>
      </c>
      <c r="J703" s="4" t="n">
        <f aca="false">(F703-I703)*(1-情景参数!F20)</f>
        <v>5216.91946622944</v>
      </c>
      <c r="K703" s="4" t="n">
        <f aca="false">偿债原表!C19</f>
        <v>0</v>
      </c>
      <c r="L703" s="4" t="n">
        <f aca="false">偿债原表!D19</f>
        <v>644</v>
      </c>
      <c r="M703" s="4" t="n">
        <f aca="false">K703+L703</f>
        <v>644</v>
      </c>
      <c r="N703" s="4" t="n">
        <f aca="false">J703-M703</f>
        <v>4572.91946622944</v>
      </c>
      <c r="O703" s="4" t="n">
        <f aca="false">O702+N703</f>
        <v>19303.7289799205</v>
      </c>
      <c r="P703" s="4" t="n">
        <f aca="false">MAX(0,-(R702+N703))</f>
        <v>0</v>
      </c>
      <c r="Q703" s="4" t="n">
        <f aca="false">Q702+P703</f>
        <v>17003.293418</v>
      </c>
      <c r="R703" s="4" t="n">
        <f aca="false">O703+Q703</f>
        <v>36307.0223979205</v>
      </c>
    </row>
    <row r="704" customFormat="false" ht="15" hidden="false" customHeight="false" outlineLevel="0" collapsed="false">
      <c r="A704" s="2" t="s">
        <v>58</v>
      </c>
      <c r="B704" s="2" t="s">
        <v>39</v>
      </c>
      <c r="C704" s="12" t="n">
        <v>18</v>
      </c>
      <c r="D704" s="12" t="n">
        <v>2041</v>
      </c>
      <c r="E704" s="4" t="n">
        <f aca="false">INDEX(驱动复算!A19:X19,1,情景参数!B20)</f>
        <v>17731.0362062142</v>
      </c>
      <c r="F704" s="4" t="n">
        <f aca="false">E704*(1-情景参数!D20)</f>
        <v>16844.4843959035</v>
      </c>
      <c r="G704" s="4" t="n">
        <f aca="false">IF(情景参数!E20="原表",驱动复算!U19-驱动复算!W19,驱动复算!P19)</f>
        <v>10801.0654624363</v>
      </c>
      <c r="H704" s="4" t="n">
        <f aca="false">IF(情景参数!E20="原表",驱动复算!W19,F704*情景参数!C20)</f>
        <v>842.224219795176</v>
      </c>
      <c r="I704" s="4" t="n">
        <f aca="false">IF(情景参数!E20="原表",驱动复算!U19,G704+H704)</f>
        <v>11643.2896822314</v>
      </c>
      <c r="J704" s="4" t="n">
        <f aca="false">(F704-I704)*(1-情景参数!F20)</f>
        <v>5201.19471367209</v>
      </c>
      <c r="K704" s="4" t="n">
        <f aca="false">偿债原表!C20</f>
        <v>20000</v>
      </c>
      <c r="L704" s="4" t="n">
        <f aca="false">偿债原表!D20</f>
        <v>644</v>
      </c>
      <c r="M704" s="4" t="n">
        <f aca="false">K704+L704</f>
        <v>20644</v>
      </c>
      <c r="N704" s="4" t="n">
        <f aca="false">J704-M704</f>
        <v>-15442.8052863279</v>
      </c>
      <c r="O704" s="4" t="n">
        <f aca="false">O703+N704</f>
        <v>3860.92369359258</v>
      </c>
      <c r="P704" s="4" t="n">
        <f aca="false">MAX(0,-(R703+N704))</f>
        <v>0</v>
      </c>
      <c r="Q704" s="4" t="n">
        <f aca="false">Q703+P704</f>
        <v>17003.293418</v>
      </c>
      <c r="R704" s="4" t="n">
        <f aca="false">O704+Q704</f>
        <v>20864.2171115926</v>
      </c>
    </row>
    <row r="705" customFormat="false" ht="15" hidden="false" customHeight="false" outlineLevel="0" collapsed="false">
      <c r="A705" s="2" t="s">
        <v>58</v>
      </c>
      <c r="B705" s="2" t="s">
        <v>40</v>
      </c>
      <c r="C705" s="12" t="n">
        <v>0</v>
      </c>
      <c r="D705" s="13" t="s">
        <v>248</v>
      </c>
      <c r="E705" s="4" t="n">
        <f aca="false">0</f>
        <v>0</v>
      </c>
      <c r="F705" s="4" t="n">
        <f aca="false">E705*(1-情景参数!D20)</f>
        <v>0</v>
      </c>
      <c r="G705" s="4" t="n">
        <f aca="false">0</f>
        <v>0</v>
      </c>
      <c r="H705" s="4" t="n">
        <f aca="false">0</f>
        <v>0</v>
      </c>
      <c r="I705" s="4" t="n">
        <f aca="false">0</f>
        <v>0</v>
      </c>
      <c r="J705" s="4" t="n">
        <f aca="false">(F705-I705)*(1-情景参数!F20)</f>
        <v>0</v>
      </c>
      <c r="K705" s="4" t="n">
        <f aca="false">偿债原表!F2</f>
        <v>0</v>
      </c>
      <c r="L705" s="4" t="n">
        <f aca="false">偿债原表!G2</f>
        <v>1374.2</v>
      </c>
      <c r="M705" s="4" t="n">
        <f aca="false">K705+L705</f>
        <v>1374.2</v>
      </c>
      <c r="N705" s="4" t="n">
        <f aca="false">J705-M705</f>
        <v>-1374.2</v>
      </c>
      <c r="O705" s="4" t="n">
        <f aca="false">N705</f>
        <v>-1374.2</v>
      </c>
      <c r="P705" s="4" t="n">
        <f aca="false">MAX(0,-N705)</f>
        <v>1374.2</v>
      </c>
      <c r="Q705" s="4" t="n">
        <f aca="false">P705</f>
        <v>1374.2</v>
      </c>
      <c r="R705" s="4" t="n">
        <f aca="false">O705+Q705</f>
        <v>0</v>
      </c>
    </row>
    <row r="706" customFormat="false" ht="15" hidden="false" customHeight="false" outlineLevel="0" collapsed="false">
      <c r="A706" s="2" t="s">
        <v>58</v>
      </c>
      <c r="B706" s="2" t="s">
        <v>40</v>
      </c>
      <c r="C706" s="12" t="n">
        <v>1</v>
      </c>
      <c r="D706" s="12" t="n">
        <v>2024</v>
      </c>
      <c r="E706" s="4" t="n">
        <f aca="false">INDEX(驱动复算!A2:X2,1,情景参数!B20)</f>
        <v>0</v>
      </c>
      <c r="F706" s="4" t="n">
        <f aca="false">E706*(1-情景参数!D20)</f>
        <v>0</v>
      </c>
      <c r="G706" s="4" t="n">
        <f aca="false">IF(情景参数!E20="原表",驱动复算!U2-驱动复算!W2,驱动复算!P2)</f>
        <v>0</v>
      </c>
      <c r="H706" s="4" t="n">
        <f aca="false">IF(情景参数!E20="原表",驱动复算!W2,F706*情景参数!C20)</f>
        <v>0</v>
      </c>
      <c r="I706" s="4" t="n">
        <f aca="false">IF(情景参数!E20="原表",驱动复算!U2,G706+H706)</f>
        <v>0</v>
      </c>
      <c r="J706" s="4" t="n">
        <f aca="false">(F706-I706)*(1-情景参数!F20)</f>
        <v>0</v>
      </c>
      <c r="K706" s="4" t="n">
        <f aca="false">偿债原表!F3</f>
        <v>0</v>
      </c>
      <c r="L706" s="4" t="n">
        <f aca="false">偿债原表!G3</f>
        <v>1107.58</v>
      </c>
      <c r="M706" s="4" t="n">
        <f aca="false">K706+L706</f>
        <v>1107.58</v>
      </c>
      <c r="N706" s="4" t="n">
        <f aca="false">J706-M706</f>
        <v>-1107.58</v>
      </c>
      <c r="O706" s="4" t="n">
        <f aca="false">O705+N706</f>
        <v>-2481.78</v>
      </c>
      <c r="P706" s="4" t="n">
        <f aca="false">MAX(0,-(R705+N706))</f>
        <v>1107.58</v>
      </c>
      <c r="Q706" s="4" t="n">
        <f aca="false">Q705+P706</f>
        <v>2481.78</v>
      </c>
      <c r="R706" s="4" t="n">
        <f aca="false">O706+Q706</f>
        <v>0</v>
      </c>
    </row>
    <row r="707" customFormat="false" ht="15" hidden="false" customHeight="false" outlineLevel="0" collapsed="false">
      <c r="A707" s="2" t="s">
        <v>58</v>
      </c>
      <c r="B707" s="2" t="s">
        <v>40</v>
      </c>
      <c r="C707" s="12" t="n">
        <v>2</v>
      </c>
      <c r="D707" s="12" t="n">
        <v>2025</v>
      </c>
      <c r="E707" s="4" t="n">
        <f aca="false">INDEX(驱动复算!A3:X3,1,情景参数!B20)</f>
        <v>0</v>
      </c>
      <c r="F707" s="4" t="n">
        <f aca="false">E707*(1-情景参数!D20)</f>
        <v>0</v>
      </c>
      <c r="G707" s="4" t="n">
        <f aca="false">IF(情景参数!E20="原表",驱动复算!U3-驱动复算!W3,驱动复算!P3)</f>
        <v>0</v>
      </c>
      <c r="H707" s="4" t="n">
        <f aca="false">IF(情景参数!E20="原表",驱动复算!W3,F707*情景参数!C20)</f>
        <v>0</v>
      </c>
      <c r="I707" s="4" t="n">
        <f aca="false">IF(情景参数!E20="原表",驱动复算!U3,G707+H707)</f>
        <v>0</v>
      </c>
      <c r="J707" s="4" t="n">
        <f aca="false">(F707-I707)*(1-情景参数!F20)</f>
        <v>0</v>
      </c>
      <c r="K707" s="4" t="n">
        <f aca="false">偿债原表!F4</f>
        <v>0</v>
      </c>
      <c r="L707" s="4" t="n">
        <f aca="false">偿债原表!G4</f>
        <v>1107.58</v>
      </c>
      <c r="M707" s="4" t="n">
        <f aca="false">K707+L707</f>
        <v>1107.58</v>
      </c>
      <c r="N707" s="4" t="n">
        <f aca="false">J707-M707</f>
        <v>-1107.58</v>
      </c>
      <c r="O707" s="4" t="n">
        <f aca="false">O706+N707</f>
        <v>-3589.36</v>
      </c>
      <c r="P707" s="4" t="n">
        <f aca="false">MAX(0,-(R706+N707))</f>
        <v>1107.58</v>
      </c>
      <c r="Q707" s="4" t="n">
        <f aca="false">Q706+P707</f>
        <v>3589.36</v>
      </c>
      <c r="R707" s="4" t="n">
        <f aca="false">O707+Q707</f>
        <v>0</v>
      </c>
    </row>
    <row r="708" customFormat="false" ht="15" hidden="false" customHeight="false" outlineLevel="0" collapsed="false">
      <c r="A708" s="2" t="s">
        <v>58</v>
      </c>
      <c r="B708" s="2" t="s">
        <v>40</v>
      </c>
      <c r="C708" s="12" t="n">
        <v>3</v>
      </c>
      <c r="D708" s="12" t="n">
        <v>2026</v>
      </c>
      <c r="E708" s="4" t="n">
        <f aca="false">INDEX(驱动复算!A4:X4,1,情景参数!B20)</f>
        <v>0</v>
      </c>
      <c r="F708" s="4" t="n">
        <f aca="false">E708*(1-情景参数!D20)</f>
        <v>0</v>
      </c>
      <c r="G708" s="4" t="n">
        <f aca="false">IF(情景参数!E20="原表",驱动复算!U4-驱动复算!W4,驱动复算!P4)</f>
        <v>0</v>
      </c>
      <c r="H708" s="4" t="n">
        <f aca="false">IF(情景参数!E20="原表",驱动复算!W4,F708*情景参数!C20)</f>
        <v>0</v>
      </c>
      <c r="I708" s="4" t="n">
        <f aca="false">IF(情景参数!E20="原表",驱动复算!U4,G708+H708)</f>
        <v>0</v>
      </c>
      <c r="J708" s="4" t="n">
        <f aca="false">(F708-I708)*(1-情景参数!F20)</f>
        <v>0</v>
      </c>
      <c r="K708" s="4" t="n">
        <f aca="false">偿债原表!F5</f>
        <v>0</v>
      </c>
      <c r="L708" s="4" t="n">
        <f aca="false">偿债原表!G5</f>
        <v>1107.58</v>
      </c>
      <c r="M708" s="4" t="n">
        <f aca="false">K708+L708</f>
        <v>1107.58</v>
      </c>
      <c r="N708" s="4" t="n">
        <f aca="false">J708-M708</f>
        <v>-1107.58</v>
      </c>
      <c r="O708" s="4" t="n">
        <f aca="false">O707+N708</f>
        <v>-4696.94</v>
      </c>
      <c r="P708" s="4" t="n">
        <f aca="false">MAX(0,-(R707+N708))</f>
        <v>1107.58</v>
      </c>
      <c r="Q708" s="4" t="n">
        <f aca="false">Q707+P708</f>
        <v>4696.94</v>
      </c>
      <c r="R708" s="4" t="n">
        <f aca="false">O708+Q708</f>
        <v>0</v>
      </c>
    </row>
    <row r="709" customFormat="false" ht="15" hidden="false" customHeight="false" outlineLevel="0" collapsed="false">
      <c r="A709" s="2" t="s">
        <v>58</v>
      </c>
      <c r="B709" s="2" t="s">
        <v>40</v>
      </c>
      <c r="C709" s="12" t="n">
        <v>4</v>
      </c>
      <c r="D709" s="12" t="n">
        <v>2027</v>
      </c>
      <c r="E709" s="4" t="n">
        <f aca="false">INDEX(驱动复算!A5:X5,1,情景参数!B20)</f>
        <v>0</v>
      </c>
      <c r="F709" s="4" t="n">
        <f aca="false">E709*(1-情景参数!D20)</f>
        <v>0</v>
      </c>
      <c r="G709" s="4" t="n">
        <f aca="false">IF(情景参数!E20="原表",驱动复算!U5-驱动复算!W5,驱动复算!P5)</f>
        <v>0</v>
      </c>
      <c r="H709" s="4" t="n">
        <f aca="false">IF(情景参数!E20="原表",驱动复算!W5,F709*情景参数!C20)</f>
        <v>0</v>
      </c>
      <c r="I709" s="4" t="n">
        <f aca="false">IF(情景参数!E20="原表",驱动复算!U5,G709+H709)</f>
        <v>0</v>
      </c>
      <c r="J709" s="4" t="n">
        <f aca="false">(F709-I709)*(1-情景参数!F20)</f>
        <v>0</v>
      </c>
      <c r="K709" s="4" t="n">
        <f aca="false">偿债原表!F6</f>
        <v>0</v>
      </c>
      <c r="L709" s="4" t="n">
        <f aca="false">偿债原表!G6</f>
        <v>1107.58</v>
      </c>
      <c r="M709" s="4" t="n">
        <f aca="false">K709+L709</f>
        <v>1107.58</v>
      </c>
      <c r="N709" s="4" t="n">
        <f aca="false">J709-M709</f>
        <v>-1107.58</v>
      </c>
      <c r="O709" s="4" t="n">
        <f aca="false">O708+N709</f>
        <v>-5804.52</v>
      </c>
      <c r="P709" s="4" t="n">
        <f aca="false">MAX(0,-(R708+N709))</f>
        <v>1107.58</v>
      </c>
      <c r="Q709" s="4" t="n">
        <f aca="false">Q708+P709</f>
        <v>5804.52</v>
      </c>
      <c r="R709" s="4" t="n">
        <f aca="false">O709+Q709</f>
        <v>0</v>
      </c>
    </row>
    <row r="710" customFormat="false" ht="15" hidden="false" customHeight="false" outlineLevel="0" collapsed="false">
      <c r="A710" s="2" t="s">
        <v>58</v>
      </c>
      <c r="B710" s="2" t="s">
        <v>40</v>
      </c>
      <c r="C710" s="12" t="n">
        <v>5</v>
      </c>
      <c r="D710" s="12" t="n">
        <v>2028</v>
      </c>
      <c r="E710" s="4" t="n">
        <f aca="false">INDEX(驱动复算!A6:X6,1,情景参数!B20)</f>
        <v>9076.9048</v>
      </c>
      <c r="F710" s="4" t="n">
        <f aca="false">E710*(1-情景参数!D20)</f>
        <v>8623.05956</v>
      </c>
      <c r="G710" s="4" t="n">
        <f aca="false">IF(情景参数!E20="原表",驱动复算!U6-驱动复算!W6,驱动复算!P6)</f>
        <v>7355</v>
      </c>
      <c r="H710" s="4" t="n">
        <f aca="false">IF(情景参数!E20="原表",驱动复算!W6,F710*情景参数!C20)</f>
        <v>431.152978</v>
      </c>
      <c r="I710" s="4" t="n">
        <f aca="false">IF(情景参数!E20="原表",驱动复算!U6,G710+H710)</f>
        <v>7786.152978</v>
      </c>
      <c r="J710" s="4" t="n">
        <f aca="false">(F710-I710)*(1-情景参数!F20)</f>
        <v>836.906581999998</v>
      </c>
      <c r="K710" s="4" t="n">
        <f aca="false">偿债原表!F7</f>
        <v>1400</v>
      </c>
      <c r="L710" s="4" t="n">
        <f aca="false">偿债原表!G7</f>
        <v>1107.58</v>
      </c>
      <c r="M710" s="4" t="n">
        <f aca="false">K710+L710</f>
        <v>2507.58</v>
      </c>
      <c r="N710" s="4" t="n">
        <f aca="false">J710-M710</f>
        <v>-1670.673418</v>
      </c>
      <c r="O710" s="4" t="n">
        <f aca="false">O709+N710</f>
        <v>-7475.193418</v>
      </c>
      <c r="P710" s="4" t="n">
        <f aca="false">MAX(0,-(R709+N710))</f>
        <v>1670.673418</v>
      </c>
      <c r="Q710" s="4" t="n">
        <f aca="false">Q709+P710</f>
        <v>7475.193418</v>
      </c>
      <c r="R710" s="4" t="n">
        <f aca="false">O710+Q710</f>
        <v>0</v>
      </c>
    </row>
    <row r="711" customFormat="false" ht="15" hidden="false" customHeight="false" outlineLevel="0" collapsed="false">
      <c r="A711" s="2" t="s">
        <v>58</v>
      </c>
      <c r="B711" s="2" t="s">
        <v>40</v>
      </c>
      <c r="C711" s="12" t="n">
        <v>6</v>
      </c>
      <c r="D711" s="12" t="n">
        <v>2029</v>
      </c>
      <c r="E711" s="4" t="n">
        <f aca="false">INDEX(驱动复算!A7:X7,1,情景参数!B20)</f>
        <v>9911.9048</v>
      </c>
      <c r="F711" s="4" t="n">
        <f aca="false">E711*(1-情景参数!D20)</f>
        <v>9416.30956</v>
      </c>
      <c r="G711" s="4" t="n">
        <f aca="false">IF(情景参数!E20="原表",驱动复算!U7-驱动复算!W7,驱动复算!P7)</f>
        <v>7575.65</v>
      </c>
      <c r="H711" s="4" t="n">
        <f aca="false">IF(情景参数!E20="原表",驱动复算!W7,F711*情景参数!C20)</f>
        <v>470.815478</v>
      </c>
      <c r="I711" s="4" t="n">
        <f aca="false">IF(情景参数!E20="原表",驱动复算!U7,G711+H711)</f>
        <v>8046.465478</v>
      </c>
      <c r="J711" s="4" t="n">
        <f aca="false">(F711-I711)*(1-情景参数!F20)</f>
        <v>1369.844082</v>
      </c>
      <c r="K711" s="4" t="n">
        <f aca="false">偿债原表!F8</f>
        <v>0</v>
      </c>
      <c r="L711" s="4" t="n">
        <f aca="false">偿债原表!G8</f>
        <v>1075.8</v>
      </c>
      <c r="M711" s="4" t="n">
        <f aca="false">K711+L711</f>
        <v>1075.8</v>
      </c>
      <c r="N711" s="4" t="n">
        <f aca="false">J711-M711</f>
        <v>294.044081999998</v>
      </c>
      <c r="O711" s="4" t="n">
        <f aca="false">O710+N711</f>
        <v>-7181.149336</v>
      </c>
      <c r="P711" s="4" t="n">
        <f aca="false">MAX(0,-(R710+N711))</f>
        <v>0</v>
      </c>
      <c r="Q711" s="4" t="n">
        <f aca="false">Q710+P711</f>
        <v>7475.193418</v>
      </c>
      <c r="R711" s="4" t="n">
        <f aca="false">O711+Q711</f>
        <v>294.044081999998</v>
      </c>
    </row>
    <row r="712" customFormat="false" ht="15" hidden="false" customHeight="false" outlineLevel="0" collapsed="false">
      <c r="A712" s="2" t="s">
        <v>58</v>
      </c>
      <c r="B712" s="2" t="s">
        <v>40</v>
      </c>
      <c r="C712" s="12" t="n">
        <v>7</v>
      </c>
      <c r="D712" s="12" t="n">
        <v>2030</v>
      </c>
      <c r="E712" s="4" t="n">
        <f aca="false">INDEX(驱动复算!A8:X8,1,情景参数!B20)</f>
        <v>10830.4048</v>
      </c>
      <c r="F712" s="4" t="n">
        <f aca="false">E712*(1-情景参数!D20)</f>
        <v>10288.88456</v>
      </c>
      <c r="G712" s="4" t="n">
        <f aca="false">IF(情景参数!E20="原表",驱动复算!U8-驱动复算!W8,驱动复算!P8)</f>
        <v>7802.9195</v>
      </c>
      <c r="H712" s="4" t="n">
        <f aca="false">IF(情景参数!E20="原表",驱动复算!W8,F712*情景参数!C20)</f>
        <v>514.444228</v>
      </c>
      <c r="I712" s="4" t="n">
        <f aca="false">IF(情景参数!E20="原表",驱动复算!U8,G712+H712)</f>
        <v>8317.363728</v>
      </c>
      <c r="J712" s="4" t="n">
        <f aca="false">(F712-I712)*(1-情景参数!F20)</f>
        <v>1971.520832</v>
      </c>
      <c r="K712" s="4" t="n">
        <f aca="false">偿债原表!F9</f>
        <v>0</v>
      </c>
      <c r="L712" s="4" t="n">
        <f aca="false">偿债原表!G9</f>
        <v>1075.8</v>
      </c>
      <c r="M712" s="4" t="n">
        <f aca="false">K712+L712</f>
        <v>1075.8</v>
      </c>
      <c r="N712" s="4" t="n">
        <f aca="false">J712-M712</f>
        <v>895.720832000002</v>
      </c>
      <c r="O712" s="4" t="n">
        <f aca="false">O711+N712</f>
        <v>-6285.428504</v>
      </c>
      <c r="P712" s="4" t="n">
        <f aca="false">MAX(0,-(R711+N712))</f>
        <v>0</v>
      </c>
      <c r="Q712" s="4" t="n">
        <f aca="false">Q711+P712</f>
        <v>7475.193418</v>
      </c>
      <c r="R712" s="4" t="n">
        <f aca="false">O712+Q712</f>
        <v>1189.764914</v>
      </c>
    </row>
    <row r="713" customFormat="false" ht="15" hidden="false" customHeight="false" outlineLevel="0" collapsed="false">
      <c r="A713" s="2" t="s">
        <v>58</v>
      </c>
      <c r="B713" s="2" t="s">
        <v>40</v>
      </c>
      <c r="C713" s="12" t="n">
        <v>8</v>
      </c>
      <c r="D713" s="12" t="n">
        <v>2031</v>
      </c>
      <c r="E713" s="4" t="n">
        <f aca="false">INDEX(驱动复算!A9:X9,1,情景参数!B20)</f>
        <v>11840.7548</v>
      </c>
      <c r="F713" s="4" t="n">
        <f aca="false">E713*(1-情景参数!D20)</f>
        <v>11248.71706</v>
      </c>
      <c r="G713" s="4" t="n">
        <f aca="false">IF(情景参数!E20="原表",驱动复算!U9-驱动复算!W9,驱动复算!P9)</f>
        <v>8037.007085</v>
      </c>
      <c r="H713" s="4" t="n">
        <f aca="false">IF(情景参数!E20="原表",驱动复算!W9,F713*情景参数!C20)</f>
        <v>562.435853</v>
      </c>
      <c r="I713" s="4" t="n">
        <f aca="false">IF(情景参数!E20="原表",驱动复算!U9,G713+H713)</f>
        <v>8599.442938</v>
      </c>
      <c r="J713" s="4" t="n">
        <f aca="false">(F713-I713)*(1-情景参数!F20)</f>
        <v>2649.274122</v>
      </c>
      <c r="K713" s="4" t="n">
        <f aca="false">偿债原表!F10</f>
        <v>0</v>
      </c>
      <c r="L713" s="4" t="n">
        <f aca="false">偿债原表!G10</f>
        <v>1075.8</v>
      </c>
      <c r="M713" s="4" t="n">
        <f aca="false">K713+L713</f>
        <v>1075.8</v>
      </c>
      <c r="N713" s="4" t="n">
        <f aca="false">J713-M713</f>
        <v>1573.474122</v>
      </c>
      <c r="O713" s="4" t="n">
        <f aca="false">O712+N713</f>
        <v>-4711.954382</v>
      </c>
      <c r="P713" s="4" t="n">
        <f aca="false">MAX(0,-(R712+N713))</f>
        <v>0</v>
      </c>
      <c r="Q713" s="4" t="n">
        <f aca="false">Q712+P713</f>
        <v>7475.193418</v>
      </c>
      <c r="R713" s="4" t="n">
        <f aca="false">O713+Q713</f>
        <v>2763.239036</v>
      </c>
    </row>
    <row r="714" customFormat="false" ht="15" hidden="false" customHeight="false" outlineLevel="0" collapsed="false">
      <c r="A714" s="2" t="s">
        <v>58</v>
      </c>
      <c r="B714" s="2" t="s">
        <v>40</v>
      </c>
      <c r="C714" s="12" t="n">
        <v>9</v>
      </c>
      <c r="D714" s="12" t="n">
        <v>2032</v>
      </c>
      <c r="E714" s="4" t="n">
        <f aca="false">INDEX(驱动复算!A10:X10,1,情景参数!B20)</f>
        <v>12952.1398</v>
      </c>
      <c r="F714" s="4" t="n">
        <f aca="false">E714*(1-情景参数!D20)</f>
        <v>12304.53281</v>
      </c>
      <c r="G714" s="4" t="n">
        <f aca="false">IF(情景参数!E20="原表",驱动复算!U10-驱动复算!W10,驱动复算!P10)</f>
        <v>8278.11729755</v>
      </c>
      <c r="H714" s="4" t="n">
        <f aca="false">IF(情景参数!E20="原表",驱动复算!W10,F714*情景参数!C20)</f>
        <v>615.2266405</v>
      </c>
      <c r="I714" s="4" t="n">
        <f aca="false">IF(情景参数!E20="原表",驱动复算!U10,G714+H714)</f>
        <v>8893.34393805</v>
      </c>
      <c r="J714" s="4" t="n">
        <f aca="false">(F714-I714)*(1-情景参数!F20)</f>
        <v>3411.18887195</v>
      </c>
      <c r="K714" s="4" t="n">
        <f aca="false">偿债原表!F11</f>
        <v>2000</v>
      </c>
      <c r="L714" s="4" t="n">
        <f aca="false">偿债原表!G11</f>
        <v>1075.8</v>
      </c>
      <c r="M714" s="4" t="n">
        <f aca="false">K714+L714</f>
        <v>3075.8</v>
      </c>
      <c r="N714" s="4" t="n">
        <f aca="false">J714-M714</f>
        <v>335.38887195</v>
      </c>
      <c r="O714" s="4" t="n">
        <f aca="false">O713+N714</f>
        <v>-4376.56551005</v>
      </c>
      <c r="P714" s="4" t="n">
        <f aca="false">MAX(0,-(R713+N714))</f>
        <v>0</v>
      </c>
      <c r="Q714" s="4" t="n">
        <f aca="false">Q713+P714</f>
        <v>7475.193418</v>
      </c>
      <c r="R714" s="4" t="n">
        <f aca="false">O714+Q714</f>
        <v>3098.62790795</v>
      </c>
    </row>
    <row r="715" customFormat="false" ht="15" hidden="false" customHeight="false" outlineLevel="0" collapsed="false">
      <c r="A715" s="2" t="s">
        <v>58</v>
      </c>
      <c r="B715" s="2" t="s">
        <v>40</v>
      </c>
      <c r="C715" s="12" t="n">
        <v>10</v>
      </c>
      <c r="D715" s="12" t="n">
        <v>2033</v>
      </c>
      <c r="E715" s="4" t="n">
        <f aca="false">INDEX(驱动复算!A11:X11,1,情景参数!B20)</f>
        <v>13654.92603</v>
      </c>
      <c r="F715" s="4" t="n">
        <f aca="false">E715*(1-情景参数!D20)</f>
        <v>12972.1797285</v>
      </c>
      <c r="G715" s="4" t="n">
        <f aca="false">IF(情景参数!E20="原表",驱动复算!U11-驱动复算!W11,驱动复算!P11)</f>
        <v>8526.4608164765</v>
      </c>
      <c r="H715" s="4" t="n">
        <f aca="false">IF(情景参数!E20="原表",驱动复算!W11,F715*情景参数!C20)</f>
        <v>648.608986425</v>
      </c>
      <c r="I715" s="4" t="n">
        <f aca="false">IF(情景参数!E20="原表",驱动复算!U11,G715+H715)</f>
        <v>9175.0698029015</v>
      </c>
      <c r="J715" s="4" t="n">
        <f aca="false">(F715-I715)*(1-情景参数!F20)</f>
        <v>3797.1099255985</v>
      </c>
      <c r="K715" s="4" t="n">
        <f aca="false">偿债原表!F12</f>
        <v>9600</v>
      </c>
      <c r="L715" s="4" t="n">
        <f aca="false">偿债原表!G12</f>
        <v>1018.8</v>
      </c>
      <c r="M715" s="4" t="n">
        <f aca="false">K715+L715</f>
        <v>10618.8</v>
      </c>
      <c r="N715" s="4" t="n">
        <f aca="false">J715-M715</f>
        <v>-6821.6900744015</v>
      </c>
      <c r="O715" s="4" t="n">
        <f aca="false">O714+N715</f>
        <v>-11198.2555844515</v>
      </c>
      <c r="P715" s="4" t="n">
        <f aca="false">MAX(0,-(R714+N715))</f>
        <v>3723.0621664515</v>
      </c>
      <c r="Q715" s="4" t="n">
        <f aca="false">Q714+P715</f>
        <v>11198.2555844515</v>
      </c>
      <c r="R715" s="4" t="n">
        <f aca="false">O715+Q715</f>
        <v>0</v>
      </c>
    </row>
    <row r="716" customFormat="false" ht="15" hidden="false" customHeight="false" outlineLevel="0" collapsed="false">
      <c r="A716" s="2" t="s">
        <v>58</v>
      </c>
      <c r="B716" s="2" t="s">
        <v>40</v>
      </c>
      <c r="C716" s="12" t="n">
        <v>11</v>
      </c>
      <c r="D716" s="12" t="n">
        <v>2034</v>
      </c>
      <c r="E716" s="4" t="n">
        <f aca="false">INDEX(驱动复算!A12:X12,1,情景参数!B20)</f>
        <v>14296.7508675</v>
      </c>
      <c r="F716" s="4" t="n">
        <f aca="false">E716*(1-情景参数!D20)</f>
        <v>13581.913324125</v>
      </c>
      <c r="G716" s="4" t="n">
        <f aca="false">IF(情景参数!E20="原表",驱动复算!U12-驱动复算!W12,驱动复算!P12)</f>
        <v>8782.2546409708</v>
      </c>
      <c r="H716" s="4" t="n">
        <f aca="false">IF(情景参数!E20="原表",驱动复算!W12,F716*情景参数!C20)</f>
        <v>679.09566620625</v>
      </c>
      <c r="I716" s="4" t="n">
        <f aca="false">IF(情景参数!E20="原表",驱动复算!U12,G716+H716)</f>
        <v>9461.35030717705</v>
      </c>
      <c r="J716" s="4" t="n">
        <f aca="false">(F716-I716)*(1-情景参数!F20)</f>
        <v>4120.56301694796</v>
      </c>
      <c r="K716" s="4" t="n">
        <f aca="false">偿债原表!F13</f>
        <v>0</v>
      </c>
      <c r="L716" s="4" t="n">
        <f aca="false">偿债原表!G13</f>
        <v>673.2</v>
      </c>
      <c r="M716" s="4" t="n">
        <f aca="false">K716+L716</f>
        <v>673.2</v>
      </c>
      <c r="N716" s="4" t="n">
        <f aca="false">J716-M716</f>
        <v>3447.36301694796</v>
      </c>
      <c r="O716" s="4" t="n">
        <f aca="false">O715+N716</f>
        <v>-7750.89256750354</v>
      </c>
      <c r="P716" s="4" t="n">
        <f aca="false">MAX(0,-(R715+N716))</f>
        <v>0</v>
      </c>
      <c r="Q716" s="4" t="n">
        <f aca="false">Q715+P716</f>
        <v>11198.2555844515</v>
      </c>
      <c r="R716" s="4" t="n">
        <f aca="false">O716+Q716</f>
        <v>3447.36301694796</v>
      </c>
    </row>
    <row r="717" customFormat="false" ht="15" hidden="false" customHeight="false" outlineLevel="0" collapsed="false">
      <c r="A717" s="2" t="s">
        <v>58</v>
      </c>
      <c r="B717" s="2" t="s">
        <v>40</v>
      </c>
      <c r="C717" s="12" t="n">
        <v>12</v>
      </c>
      <c r="D717" s="12" t="n">
        <v>2035</v>
      </c>
      <c r="E717" s="4" t="n">
        <f aca="false">INDEX(驱动复算!A13:X13,1,情景参数!B20)</f>
        <v>14970.666946875</v>
      </c>
      <c r="F717" s="4" t="n">
        <f aca="false">E717*(1-情景参数!D20)</f>
        <v>14222.1335995313</v>
      </c>
      <c r="G717" s="4" t="n">
        <f aca="false">IF(情景参数!E20="原表",驱动复算!U13-驱动复算!W13,驱动复算!P13)</f>
        <v>9045.72228019992</v>
      </c>
      <c r="H717" s="4" t="n">
        <f aca="false">IF(情景参数!E20="原表",驱动复算!W13,F717*情景参数!C20)</f>
        <v>711.106679976563</v>
      </c>
      <c r="I717" s="4" t="n">
        <f aca="false">IF(情景参数!E20="原表",驱动复算!U13,G717+H717)</f>
        <v>9756.82896017648</v>
      </c>
      <c r="J717" s="4" t="n">
        <f aca="false">(F717-I717)*(1-情景参数!F20)</f>
        <v>4465.30463935477</v>
      </c>
      <c r="K717" s="4" t="n">
        <f aca="false">偿债原表!F14</f>
        <v>0</v>
      </c>
      <c r="L717" s="4" t="n">
        <f aca="false">偿债原表!G14</f>
        <v>673.2</v>
      </c>
      <c r="M717" s="4" t="n">
        <f aca="false">K717+L717</f>
        <v>673.2</v>
      </c>
      <c r="N717" s="4" t="n">
        <f aca="false">J717-M717</f>
        <v>3792.10463935477</v>
      </c>
      <c r="O717" s="4" t="n">
        <f aca="false">O716+N717</f>
        <v>-3958.78792814877</v>
      </c>
      <c r="P717" s="4" t="n">
        <f aca="false">MAX(0,-(R716+N717))</f>
        <v>0</v>
      </c>
      <c r="Q717" s="4" t="n">
        <f aca="false">Q716+P717</f>
        <v>11198.2555844515</v>
      </c>
      <c r="R717" s="4" t="n">
        <f aca="false">O717+Q717</f>
        <v>7239.46765630273</v>
      </c>
    </row>
    <row r="718" customFormat="false" ht="15" hidden="false" customHeight="false" outlineLevel="0" collapsed="false">
      <c r="A718" s="2" t="s">
        <v>58</v>
      </c>
      <c r="B718" s="2" t="s">
        <v>40</v>
      </c>
      <c r="C718" s="12" t="n">
        <v>13</v>
      </c>
      <c r="D718" s="12" t="n">
        <v>2036</v>
      </c>
      <c r="E718" s="4" t="n">
        <f aca="false">INDEX(驱动复算!A14:X14,1,情景参数!B20)</f>
        <v>15678.2788302188</v>
      </c>
      <c r="F718" s="4" t="n">
        <f aca="false">E718*(1-情景参数!D20)</f>
        <v>14894.3648887078</v>
      </c>
      <c r="G718" s="4" t="n">
        <f aca="false">IF(情景参数!E20="原表",驱动复算!U14-驱动复算!W14,驱动复算!P14)</f>
        <v>9317.09394860592</v>
      </c>
      <c r="H718" s="4" t="n">
        <f aca="false">IF(情景参数!E20="原表",驱动复算!W14,F718*情景参数!C20)</f>
        <v>744.718244435391</v>
      </c>
      <c r="I718" s="4" t="n">
        <f aca="false">IF(情景参数!E20="原表",驱动复算!U14,G718+H718)</f>
        <v>10061.8121930413</v>
      </c>
      <c r="J718" s="4" t="n">
        <f aca="false">(F718-I718)*(1-情景参数!F20)</f>
        <v>4832.55269566651</v>
      </c>
      <c r="K718" s="4" t="n">
        <f aca="false">偿债原表!F15</f>
        <v>0</v>
      </c>
      <c r="L718" s="4" t="n">
        <f aca="false">偿债原表!G15</f>
        <v>673.2</v>
      </c>
      <c r="M718" s="4" t="n">
        <f aca="false">K718+L718</f>
        <v>673.2</v>
      </c>
      <c r="N718" s="4" t="n">
        <f aca="false">J718-M718</f>
        <v>4159.35269566651</v>
      </c>
      <c r="O718" s="4" t="n">
        <f aca="false">O717+N718</f>
        <v>200.56476751774</v>
      </c>
      <c r="P718" s="4" t="n">
        <f aca="false">MAX(0,-(R717+N718))</f>
        <v>0</v>
      </c>
      <c r="Q718" s="4" t="n">
        <f aca="false">Q717+P718</f>
        <v>11198.2555844515</v>
      </c>
      <c r="R718" s="4" t="n">
        <f aca="false">O718+Q718</f>
        <v>11398.8203519692</v>
      </c>
    </row>
    <row r="719" customFormat="false" ht="15" hidden="false" customHeight="false" outlineLevel="0" collapsed="false">
      <c r="A719" s="2" t="s">
        <v>58</v>
      </c>
      <c r="B719" s="2" t="s">
        <v>40</v>
      </c>
      <c r="C719" s="12" t="n">
        <v>14</v>
      </c>
      <c r="D719" s="12" t="n">
        <v>2037</v>
      </c>
      <c r="E719" s="4" t="n">
        <f aca="false">INDEX(驱动复算!A15:X15,1,情景参数!B20)</f>
        <v>16421.2713077297</v>
      </c>
      <c r="F719" s="4" t="n">
        <f aca="false">E719*(1-情景参数!D20)</f>
        <v>15600.2077423432</v>
      </c>
      <c r="G719" s="4" t="n">
        <f aca="false">IF(情景参数!E20="原表",驱动复算!U15-驱动复算!W15,驱动复算!P15)</f>
        <v>9596.6067670641</v>
      </c>
      <c r="H719" s="4" t="n">
        <f aca="false">IF(情景参数!E20="原表",驱动复算!W15,F719*情景参数!C20)</f>
        <v>780.010387117161</v>
      </c>
      <c r="I719" s="4" t="n">
        <f aca="false">IF(情景参数!E20="原表",驱动复算!U15,G719+H719)</f>
        <v>10376.6171541813</v>
      </c>
      <c r="J719" s="4" t="n">
        <f aca="false">(F719-I719)*(1-情景参数!F20)</f>
        <v>5223.59058816195</v>
      </c>
      <c r="K719" s="4" t="n">
        <f aca="false">偿债原表!F16</f>
        <v>1000</v>
      </c>
      <c r="L719" s="4" t="n">
        <f aca="false">偿债原表!G16</f>
        <v>673.2</v>
      </c>
      <c r="M719" s="4" t="n">
        <f aca="false">K719+L719</f>
        <v>1673.2</v>
      </c>
      <c r="N719" s="4" t="n">
        <f aca="false">J719-M719</f>
        <v>3550.39058816195</v>
      </c>
      <c r="O719" s="4" t="n">
        <f aca="false">O718+N719</f>
        <v>3750.95535567969</v>
      </c>
      <c r="P719" s="4" t="n">
        <f aca="false">MAX(0,-(R718+N719))</f>
        <v>0</v>
      </c>
      <c r="Q719" s="4" t="n">
        <f aca="false">Q718+P719</f>
        <v>11198.2555844515</v>
      </c>
      <c r="R719" s="4" t="n">
        <f aca="false">O719+Q719</f>
        <v>14949.2109401312</v>
      </c>
    </row>
    <row r="720" customFormat="false" ht="15" hidden="false" customHeight="false" outlineLevel="0" collapsed="false">
      <c r="A720" s="2" t="s">
        <v>58</v>
      </c>
      <c r="B720" s="2" t="s">
        <v>40</v>
      </c>
      <c r="C720" s="12" t="n">
        <v>15</v>
      </c>
      <c r="D720" s="12" t="n">
        <v>2038</v>
      </c>
      <c r="E720" s="4" t="n">
        <f aca="false">INDEX(驱动复算!A16:X16,1,情景参数!B20)</f>
        <v>16756.9170762843</v>
      </c>
      <c r="F720" s="4" t="n">
        <f aca="false">E720*(1-情景参数!D20)</f>
        <v>15919.0712224701</v>
      </c>
      <c r="G720" s="4" t="n">
        <f aca="false">IF(情景参数!E20="原表",驱动复算!U16-驱动复算!W16,驱动复算!P16)</f>
        <v>9884.50497007602</v>
      </c>
      <c r="H720" s="4" t="n">
        <f aca="false">IF(情景参数!E20="原表",驱动复算!W16,F720*情景参数!C20)</f>
        <v>795.953561123504</v>
      </c>
      <c r="I720" s="4" t="n">
        <f aca="false">IF(情景参数!E20="原表",驱动复算!U16,G720+H720)</f>
        <v>10680.4585311995</v>
      </c>
      <c r="J720" s="4" t="n">
        <f aca="false">(F720-I720)*(1-情景参数!F20)</f>
        <v>5238.61269127055</v>
      </c>
      <c r="K720" s="4" t="n">
        <f aca="false">偿债原表!F17</f>
        <v>0</v>
      </c>
      <c r="L720" s="4" t="n">
        <f aca="false">偿债原表!G17</f>
        <v>644</v>
      </c>
      <c r="M720" s="4" t="n">
        <f aca="false">K720+L720</f>
        <v>644</v>
      </c>
      <c r="N720" s="4" t="n">
        <f aca="false">J720-M720</f>
        <v>4594.61269127055</v>
      </c>
      <c r="O720" s="4" t="n">
        <f aca="false">O719+N720</f>
        <v>8345.56804695025</v>
      </c>
      <c r="P720" s="4" t="n">
        <f aca="false">MAX(0,-(R719+N720))</f>
        <v>0</v>
      </c>
      <c r="Q720" s="4" t="n">
        <f aca="false">Q719+P720</f>
        <v>11198.2555844515</v>
      </c>
      <c r="R720" s="4" t="n">
        <f aca="false">O720+Q720</f>
        <v>19543.8236314018</v>
      </c>
    </row>
    <row r="721" customFormat="false" ht="15" hidden="false" customHeight="false" outlineLevel="0" collapsed="false">
      <c r="A721" s="2" t="s">
        <v>58</v>
      </c>
      <c r="B721" s="2" t="s">
        <v>40</v>
      </c>
      <c r="C721" s="12" t="n">
        <v>16</v>
      </c>
      <c r="D721" s="12" t="n">
        <v>2039</v>
      </c>
      <c r="E721" s="4" t="n">
        <f aca="false">INDEX(驱动复算!A17:X17,1,情景参数!B20)</f>
        <v>17075.21505365</v>
      </c>
      <c r="F721" s="4" t="n">
        <f aca="false">E721*(1-情景参数!D20)</f>
        <v>16221.4543009675</v>
      </c>
      <c r="G721" s="4" t="n">
        <f aca="false">IF(情景参数!E20="原表",驱动复算!U17-驱动复算!W17,驱动复算!P17)</f>
        <v>10181.0401191783</v>
      </c>
      <c r="H721" s="4" t="n">
        <f aca="false">IF(情景参数!E20="原表",驱动复算!W17,F721*情景参数!C20)</f>
        <v>811.072715048374</v>
      </c>
      <c r="I721" s="4" t="n">
        <f aca="false">IF(情景参数!E20="原表",驱动复算!U17,G721+H721)</f>
        <v>10992.1128342267</v>
      </c>
      <c r="J721" s="4" t="n">
        <f aca="false">(F721-I721)*(1-情景参数!F20)</f>
        <v>5229.34146674081</v>
      </c>
      <c r="K721" s="4" t="n">
        <f aca="false">偿债原表!F18</f>
        <v>0</v>
      </c>
      <c r="L721" s="4" t="n">
        <f aca="false">偿债原表!G18</f>
        <v>644</v>
      </c>
      <c r="M721" s="4" t="n">
        <f aca="false">K721+L721</f>
        <v>644</v>
      </c>
      <c r="N721" s="4" t="n">
        <f aca="false">J721-M721</f>
        <v>4585.34146674081</v>
      </c>
      <c r="O721" s="4" t="n">
        <f aca="false">O720+N721</f>
        <v>12930.9095136911</v>
      </c>
      <c r="P721" s="4" t="n">
        <f aca="false">MAX(0,-(R720+N721))</f>
        <v>0</v>
      </c>
      <c r="Q721" s="4" t="n">
        <f aca="false">Q720+P721</f>
        <v>11198.2555844515</v>
      </c>
      <c r="R721" s="4" t="n">
        <f aca="false">O721+Q721</f>
        <v>24129.1650981426</v>
      </c>
    </row>
    <row r="722" customFormat="false" ht="15" hidden="false" customHeight="false" outlineLevel="0" collapsed="false">
      <c r="A722" s="2" t="s">
        <v>58</v>
      </c>
      <c r="B722" s="2" t="s">
        <v>40</v>
      </c>
      <c r="C722" s="12" t="n">
        <v>17</v>
      </c>
      <c r="D722" s="12" t="n">
        <v>2040</v>
      </c>
      <c r="E722" s="4" t="n">
        <f aca="false">INDEX(驱动复算!A18:X18,1,情景参数!B20)</f>
        <v>17399.878990563</v>
      </c>
      <c r="F722" s="4" t="n">
        <f aca="false">E722*(1-情景参数!D20)</f>
        <v>16529.8850410348</v>
      </c>
      <c r="G722" s="4" t="n">
        <f aca="false">IF(情景参数!E20="原表",驱动复算!U18-驱动复算!W18,驱动复算!P18)</f>
        <v>10486.4713227536</v>
      </c>
      <c r="H722" s="4" t="n">
        <f aca="false">IF(情景参数!E20="原表",驱动复算!W18,F722*情景参数!C20)</f>
        <v>826.494252051742</v>
      </c>
      <c r="I722" s="4" t="n">
        <f aca="false">IF(情景参数!E20="原表",驱动复算!U18,G722+H722)</f>
        <v>11312.9655748054</v>
      </c>
      <c r="J722" s="4" t="n">
        <f aca="false">(F722-I722)*(1-情景参数!F20)</f>
        <v>5216.91946622944</v>
      </c>
      <c r="K722" s="4" t="n">
        <f aca="false">偿债原表!F19</f>
        <v>0</v>
      </c>
      <c r="L722" s="4" t="n">
        <f aca="false">偿债原表!G19</f>
        <v>644</v>
      </c>
      <c r="M722" s="4" t="n">
        <f aca="false">K722+L722</f>
        <v>644</v>
      </c>
      <c r="N722" s="4" t="n">
        <f aca="false">J722-M722</f>
        <v>4572.91946622944</v>
      </c>
      <c r="O722" s="4" t="n">
        <f aca="false">O721+N722</f>
        <v>17503.8289799205</v>
      </c>
      <c r="P722" s="4" t="n">
        <f aca="false">MAX(0,-(R721+N722))</f>
        <v>0</v>
      </c>
      <c r="Q722" s="4" t="n">
        <f aca="false">Q721+P722</f>
        <v>11198.2555844515</v>
      </c>
      <c r="R722" s="4" t="n">
        <f aca="false">O722+Q722</f>
        <v>28702.084564372</v>
      </c>
    </row>
    <row r="723" customFormat="false" ht="15" hidden="false" customHeight="false" outlineLevel="0" collapsed="false">
      <c r="A723" s="2" t="s">
        <v>58</v>
      </c>
      <c r="B723" s="2" t="s">
        <v>40</v>
      </c>
      <c r="C723" s="12" t="n">
        <v>18</v>
      </c>
      <c r="D723" s="12" t="n">
        <v>2041</v>
      </c>
      <c r="E723" s="4" t="n">
        <f aca="false">INDEX(驱动复算!A19:X19,1,情景参数!B20)</f>
        <v>17731.0362062142</v>
      </c>
      <c r="F723" s="4" t="n">
        <f aca="false">E723*(1-情景参数!D20)</f>
        <v>16844.4843959035</v>
      </c>
      <c r="G723" s="4" t="n">
        <f aca="false">IF(情景参数!E20="原表",驱动复算!U19-驱动复算!W19,驱动复算!P19)</f>
        <v>10801.0654624363</v>
      </c>
      <c r="H723" s="4" t="n">
        <f aca="false">IF(情景参数!E20="原表",驱动复算!W19,F723*情景参数!C20)</f>
        <v>842.224219795176</v>
      </c>
      <c r="I723" s="4" t="n">
        <f aca="false">IF(情景参数!E20="原表",驱动复算!U19,G723+H723)</f>
        <v>11643.2896822314</v>
      </c>
      <c r="J723" s="4" t="n">
        <f aca="false">(F723-I723)*(1-情景参数!F20)</f>
        <v>5201.19471367209</v>
      </c>
      <c r="K723" s="4" t="n">
        <f aca="false">偿债原表!F20</f>
        <v>20000</v>
      </c>
      <c r="L723" s="4" t="n">
        <f aca="false">偿债原表!G20</f>
        <v>644</v>
      </c>
      <c r="M723" s="4" t="n">
        <f aca="false">K723+L723</f>
        <v>20644</v>
      </c>
      <c r="N723" s="4" t="n">
        <f aca="false">J723-M723</f>
        <v>-15442.8052863279</v>
      </c>
      <c r="O723" s="4" t="n">
        <f aca="false">O722+N723</f>
        <v>2061.02369359258</v>
      </c>
      <c r="P723" s="4" t="n">
        <f aca="false">MAX(0,-(R722+N723))</f>
        <v>0</v>
      </c>
      <c r="Q723" s="4" t="n">
        <f aca="false">Q722+P723</f>
        <v>11198.2555844515</v>
      </c>
      <c r="R723" s="4" t="n">
        <f aca="false">O723+Q723</f>
        <v>13259.2792780441</v>
      </c>
    </row>
  </sheetData>
  <autoFilter ref="A1:R723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8"/>
    <col collapsed="false" customWidth="true" hidden="false" outlineLevel="0" max="4" min="4" style="0" width="65"/>
    <col collapsed="false" customWidth="true" hidden="false" outlineLevel="0" max="5" min="5" style="0" width="48"/>
  </cols>
  <sheetData>
    <row r="1" customFormat="false" ht="31.5" hidden="false" customHeight="true" outlineLevel="0" collapsed="false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</row>
    <row r="2" customFormat="false" ht="60" hidden="false" customHeight="true" outlineLevel="0" collapsed="false">
      <c r="A2" s="2" t="s">
        <v>221</v>
      </c>
      <c r="B2" s="2" t="s">
        <v>291</v>
      </c>
      <c r="C2" s="2" t="s">
        <v>292</v>
      </c>
      <c r="D2" s="2" t="s">
        <v>293</v>
      </c>
      <c r="E2" s="2" t="s">
        <v>294</v>
      </c>
    </row>
    <row r="3" customFormat="false" ht="60" hidden="false" customHeight="true" outlineLevel="0" collapsed="false">
      <c r="A3" s="2" t="s">
        <v>295</v>
      </c>
      <c r="B3" s="2" t="s">
        <v>296</v>
      </c>
      <c r="C3" s="3" t="s">
        <v>297</v>
      </c>
      <c r="D3" s="2" t="s">
        <v>298</v>
      </c>
      <c r="E3" s="2" t="s">
        <v>299</v>
      </c>
    </row>
    <row r="4" customFormat="false" ht="60" hidden="false" customHeight="true" outlineLevel="0" collapsed="false">
      <c r="A4" s="2" t="s">
        <v>213</v>
      </c>
      <c r="B4" s="2" t="s">
        <v>300</v>
      </c>
      <c r="C4" s="2" t="s">
        <v>301</v>
      </c>
      <c r="D4" s="2" t="s">
        <v>302</v>
      </c>
      <c r="E4" s="2" t="s">
        <v>303</v>
      </c>
    </row>
    <row r="5" customFormat="false" ht="60" hidden="false" customHeight="true" outlineLevel="0" collapsed="false">
      <c r="A5" s="2" t="s">
        <v>199</v>
      </c>
      <c r="B5" s="2" t="s">
        <v>304</v>
      </c>
      <c r="C5" s="3" t="s">
        <v>305</v>
      </c>
      <c r="D5" s="2" t="s">
        <v>306</v>
      </c>
      <c r="E5" s="2" t="s">
        <v>307</v>
      </c>
    </row>
    <row r="6" customFormat="false" ht="60" hidden="false" customHeight="true" outlineLevel="0" collapsed="false">
      <c r="A6" s="2" t="s">
        <v>200</v>
      </c>
      <c r="B6" s="2" t="s">
        <v>308</v>
      </c>
      <c r="C6" s="3" t="s">
        <v>309</v>
      </c>
      <c r="D6" s="2" t="s">
        <v>310</v>
      </c>
      <c r="E6" s="2" t="s">
        <v>311</v>
      </c>
    </row>
    <row r="7" customFormat="false" ht="60" hidden="false" customHeight="true" outlineLevel="0" collapsed="false">
      <c r="A7" s="2" t="s">
        <v>20</v>
      </c>
      <c r="B7" s="2" t="s">
        <v>312</v>
      </c>
      <c r="C7" s="2" t="s">
        <v>313</v>
      </c>
      <c r="D7" s="2" t="s">
        <v>314</v>
      </c>
      <c r="E7" s="2" t="s">
        <v>315</v>
      </c>
    </row>
    <row r="8" customFormat="false" ht="60" hidden="false" customHeight="true" outlineLevel="0" collapsed="false">
      <c r="A8" s="2" t="s">
        <v>316</v>
      </c>
      <c r="B8" s="2" t="s">
        <v>317</v>
      </c>
      <c r="C8" s="2" t="s">
        <v>318</v>
      </c>
      <c r="D8" s="2" t="s">
        <v>319</v>
      </c>
      <c r="E8" s="2" t="s">
        <v>320</v>
      </c>
    </row>
    <row r="9" customFormat="false" ht="60" hidden="false" customHeight="true" outlineLevel="0" collapsed="false">
      <c r="A9" s="2" t="s">
        <v>321</v>
      </c>
      <c r="B9" s="2" t="s">
        <v>322</v>
      </c>
      <c r="C9" s="2" t="s">
        <v>323</v>
      </c>
      <c r="D9" s="2" t="s">
        <v>324</v>
      </c>
      <c r="E9" s="2" t="s">
        <v>325</v>
      </c>
    </row>
    <row r="10" customFormat="false" ht="60" hidden="false" customHeight="true" outlineLevel="0" collapsed="false">
      <c r="A10" s="2" t="s">
        <v>326</v>
      </c>
      <c r="B10" s="2" t="s">
        <v>327</v>
      </c>
      <c r="C10" s="2" t="s">
        <v>328</v>
      </c>
      <c r="D10" s="2" t="s">
        <v>329</v>
      </c>
      <c r="E10" s="2" t="s">
        <v>330</v>
      </c>
    </row>
  </sheetData>
  <autoFilter ref="A1:E10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2026-10-23T02:26:15Z</dcterms:created>
  <dc:creator>openpyxl</dc:creator>
  <dc:description/>
  <dc:language>en-US</dc:language>
  <cp:lastModifiedBy/>
  <dcterms:modified xsi:type="dcterms:W3CDTF">2026-10-23T02:26:16Z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